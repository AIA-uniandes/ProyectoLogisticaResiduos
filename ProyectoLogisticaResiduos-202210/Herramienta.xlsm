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eyoc\Documents\Tesis\"/>
    </mc:Choice>
  </mc:AlternateContent>
  <bookViews>
    <workbookView xWindow="0" yWindow="0" windowWidth="20490" windowHeight="7650"/>
  </bookViews>
  <sheets>
    <sheet name="Hoja1" sheetId="1" r:id="rId1"/>
    <sheet name="Hoja2" sheetId="2" state="hidden" r:id="rId2"/>
    <sheet name="Hoja3" sheetId="3" state="hidden" r:id="rId3"/>
    <sheet name="Hoja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3" i="4" l="1"/>
  <c r="I91" i="4"/>
  <c r="I89" i="4"/>
  <c r="I97" i="4" s="1"/>
  <c r="O3" i="3" l="1"/>
  <c r="N3" i="3"/>
  <c r="I82" i="4" l="1"/>
  <c r="M3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2" i="3"/>
  <c r="L3" i="3"/>
  <c r="K3" i="3" l="1"/>
</calcChain>
</file>

<file path=xl/sharedStrings.xml><?xml version="1.0" encoding="utf-8"?>
<sst xmlns="http://schemas.openxmlformats.org/spreadsheetml/2006/main" count="409" uniqueCount="158">
  <si>
    <t>Zona</t>
  </si>
  <si>
    <t>Localidad</t>
  </si>
  <si>
    <t>Empresa</t>
  </si>
  <si>
    <t>Usaquén</t>
  </si>
  <si>
    <t>Chapinero</t>
  </si>
  <si>
    <t>Santa Fe</t>
  </si>
  <si>
    <t>Candelaria</t>
  </si>
  <si>
    <t>San Cristobal</t>
  </si>
  <si>
    <t>Usme</t>
  </si>
  <si>
    <t>Sumapaz</t>
  </si>
  <si>
    <t>Promoambiental Distrito</t>
  </si>
  <si>
    <t>Tunjuelito</t>
  </si>
  <si>
    <t>Bosa</t>
  </si>
  <si>
    <t>Puente Aranda</t>
  </si>
  <si>
    <t>Teusaquillo</t>
  </si>
  <si>
    <t>Rafael Uribe Uribe</t>
  </si>
  <si>
    <t>Los Mártires</t>
  </si>
  <si>
    <t>Antonio Nariño</t>
  </si>
  <si>
    <t>Ciudad Bolivar</t>
  </si>
  <si>
    <t>LIME</t>
  </si>
  <si>
    <t>Kennedy</t>
  </si>
  <si>
    <t>Fontibón</t>
  </si>
  <si>
    <t>Ciudad Limpia</t>
  </si>
  <si>
    <t>Engativá</t>
  </si>
  <si>
    <t>Barrios Unidos</t>
  </si>
  <si>
    <t>Suba</t>
  </si>
  <si>
    <t>Bogotá Limpia</t>
  </si>
  <si>
    <t>Dias</t>
  </si>
  <si>
    <t>Horario</t>
  </si>
  <si>
    <t>De 6PM a 4AM</t>
  </si>
  <si>
    <t>Norte de Calle 151 &amp; Occidente de la Carrera Séptima</t>
  </si>
  <si>
    <t>Norte de la Calle 134 &amp; Oriente de la Carrera Séptima</t>
  </si>
  <si>
    <t>Martes, Jueves y Sábado</t>
  </si>
  <si>
    <t>https://www.publimetro.co/co/bogota/2018/02/15/que-dia-y-hora-pasa-el-camion-de-la-basura-en-su-localidad.html</t>
  </si>
  <si>
    <t>Num</t>
  </si>
  <si>
    <t>Lunes, Miércoles y Viernes</t>
  </si>
  <si>
    <t>De 6AM a 4PM</t>
  </si>
  <si>
    <t>MaxDiasLibres</t>
  </si>
  <si>
    <t>Sur de la 151</t>
  </si>
  <si>
    <t>Color</t>
  </si>
  <si>
    <t>Naranja</t>
  </si>
  <si>
    <t>Azul claro</t>
  </si>
  <si>
    <t>Sur de 100</t>
  </si>
  <si>
    <t>Amarilla</t>
  </si>
  <si>
    <t>Morada</t>
  </si>
  <si>
    <t>Oriente de la septima</t>
  </si>
  <si>
    <t>Sur de la 76</t>
  </si>
  <si>
    <t>Azul oscuro</t>
  </si>
  <si>
    <t>Zona T, 93, chapinero alto</t>
  </si>
  <si>
    <t>De 10PM a 8AM</t>
  </si>
  <si>
    <t>Roja</t>
  </si>
  <si>
    <t>Sur de la 26</t>
  </si>
  <si>
    <t>Al sur y al oriente</t>
  </si>
  <si>
    <t>Pequeña</t>
  </si>
  <si>
    <t>Al sur de la calle 1</t>
  </si>
  <si>
    <t>Al sur d ela 45 sur</t>
  </si>
  <si>
    <t>Lunes a Sabado</t>
  </si>
  <si>
    <t>Todo</t>
  </si>
  <si>
    <t>Aguamarina</t>
  </si>
  <si>
    <t>Mayoría</t>
  </si>
  <si>
    <t>Morada clara</t>
  </si>
  <si>
    <t>Zonas</t>
  </si>
  <si>
    <t>Domingo</t>
  </si>
  <si>
    <t>De 6:30PM a 4:30AM</t>
  </si>
  <si>
    <t>Occidente</t>
  </si>
  <si>
    <t>Oriente</t>
  </si>
  <si>
    <t>https://limesa.maps.arcgis.com/apps/webappviewer/index.html?id=c50a950d2b124417830a5c9615fdc69a</t>
  </si>
  <si>
    <t>Sur de la 22</t>
  </si>
  <si>
    <t>zonas</t>
  </si>
  <si>
    <t>Lunes a Domingo</t>
  </si>
  <si>
    <t>Azul</t>
  </si>
  <si>
    <t>Oriente de la d40sur</t>
  </si>
  <si>
    <t>Oriente de carrera 24</t>
  </si>
  <si>
    <t>Oriente de carrera 14</t>
  </si>
  <si>
    <t>Verde</t>
  </si>
  <si>
    <t>Sur de la 13</t>
  </si>
  <si>
    <t>Café</t>
  </si>
  <si>
    <t>De 2PM a 11PM</t>
  </si>
  <si>
    <t>Occidente de caracas</t>
  </si>
  <si>
    <t>zona</t>
  </si>
  <si>
    <t>Occidente, sur</t>
  </si>
  <si>
    <t>Norte</t>
  </si>
  <si>
    <t>Rosada</t>
  </si>
  <si>
    <t>De 7PM a 6AM</t>
  </si>
  <si>
    <t>De 6AM a 6PM</t>
  </si>
  <si>
    <t>De 1PM a 9PM</t>
  </si>
  <si>
    <t>Gris</t>
  </si>
  <si>
    <t>Lunes</t>
  </si>
  <si>
    <t>Verde claro</t>
  </si>
  <si>
    <t>Verde opaco</t>
  </si>
  <si>
    <t>Morado</t>
  </si>
  <si>
    <t>Martes</t>
  </si>
  <si>
    <t>Rojo</t>
  </si>
  <si>
    <t>Verde Opaco</t>
  </si>
  <si>
    <t>De 7AM a 7PM</t>
  </si>
  <si>
    <t>De 7PM a 5AM</t>
  </si>
  <si>
    <t>Area Limpia</t>
  </si>
  <si>
    <t>De 6AM a 3PM</t>
  </si>
  <si>
    <t>Amarillo Quemado</t>
  </si>
  <si>
    <t>De 6PM a 3AM</t>
  </si>
  <si>
    <t>De 6AM a 2PM</t>
  </si>
  <si>
    <t>De 6PM a 2AM</t>
  </si>
  <si>
    <t>Loc</t>
  </si>
  <si>
    <t>Col</t>
  </si>
  <si>
    <t>(este es un costo aproximado sugerido, en general un metro de banda que cumpla la funcion que se quiere puede estar entre 6 y 8 millones de pesos)</t>
  </si>
  <si>
    <t>(este costo se presenta a partir de los precios comerciales promedio de almacenes de cadena)</t>
  </si>
  <si>
    <t>(este costo se presenta a raiz de una cotizacion para un caso concreto, se sugiere cotizar precios con 15% de margen de error)</t>
  </si>
  <si>
    <t>(este es el costo comercial promedio de una cara de estandares normales para transmision en vivo)</t>
  </si>
  <si>
    <t>(este costo es especifico de este artículo ya que es el sugerido)</t>
  </si>
  <si>
    <t>(este costo es del numero de sensores comerciales que necesitará por piso)</t>
  </si>
  <si>
    <t>(este es un costo aproximado de un robot de calidad estandar y según las especificaciones de las bolsas de basura)</t>
  </si>
  <si>
    <t>Adaptacion de sistema de recolección de basuras</t>
  </si>
  <si>
    <t>Usted eligió que conoce la información de:</t>
  </si>
  <si>
    <t>Es decir que su edificio cuenta con:</t>
  </si>
  <si>
    <t>pisos</t>
  </si>
  <si>
    <t>Apartamentos en total</t>
  </si>
  <si>
    <t>Apartamentos por piso</t>
  </si>
  <si>
    <t>Personas que habitan el edificio</t>
  </si>
  <si>
    <t>Particularmente de cada tipo:</t>
  </si>
  <si>
    <t>En esta zona, la gestion integral de residuos se realiza los dias</t>
  </si>
  <si>
    <t>Para estos datos, usted necesitará la siguiente cantidad de contenedores:</t>
  </si>
  <si>
    <t>770 lt</t>
  </si>
  <si>
    <t>360 lt</t>
  </si>
  <si>
    <t>Residuos aprovechables</t>
  </si>
  <si>
    <t>Residuos organicos aprovechables</t>
  </si>
  <si>
    <t>Residuos no aprovechables</t>
  </si>
  <si>
    <t># Contenedores de volumen de</t>
  </si>
  <si>
    <t>Su edificio se encuentra en la localidad de</t>
  </si>
  <si>
    <t>A continuacion se presenta un resumen de los datos de su edificio:</t>
  </si>
  <si>
    <t>1. Resumen de datos del edificio</t>
  </si>
  <si>
    <t>2. Cotización de adaptación</t>
  </si>
  <si>
    <t>2. Costo de bandas transportadoras:…………………………………………………</t>
  </si>
  <si>
    <t>1. Costo de los contenedores:………………………………………………………..</t>
  </si>
  <si>
    <t>3. Costo por compuertas y sistema RFID:……………………………………………</t>
  </si>
  <si>
    <t>4. Costo de camara de transmision en vivo:………………………………………….</t>
  </si>
  <si>
    <t>5. Costo de computadora pequeña (Jetson Nano):…………………………………..</t>
  </si>
  <si>
    <t>6. Costo de sensores de ultrasonido de movimiento:…………………………………</t>
  </si>
  <si>
    <t>7. Costo de brazo robotico:…………………………………………………………..</t>
  </si>
  <si>
    <t>TOTAL_______________________________________________________</t>
  </si>
  <si>
    <t>A continuación se presentan los costos aproximados en pesos colombianos de implementar esta solución a su edificio</t>
  </si>
  <si>
    <t>Hor</t>
  </si>
  <si>
    <t>1100 lt</t>
  </si>
  <si>
    <t>es decir, tiene un maximo de dias libres de</t>
  </si>
  <si>
    <t>-</t>
  </si>
  <si>
    <t>de residuos sólidos generados en un dia</t>
  </si>
  <si>
    <t>3. Recomendaciones para adecuación del espacio</t>
  </si>
  <si>
    <t>1. Espacio necesario para la disposicion de contenedores de basura:…………..</t>
  </si>
  <si>
    <t>2. Espacio necesario para la disposicion para bandas transportadoras:…………</t>
  </si>
  <si>
    <t>A continuación se presentan algunas dimensiones recomendadas en metros cuadrados para optimizar el funcionamiento del sistema en el cuarto de basuras de su edificio</t>
  </si>
  <si>
    <t>(el espacio considerado en este rubro corresponde al espacio libre en metros entre la camara y las bandas)</t>
  </si>
  <si>
    <t>3. Espacio para brazo robótico:……………………………………………………………………….</t>
  </si>
  <si>
    <t>(El espacio mostrado es para poner la base del robot, se considera que también deberá dejar espacio de maniobra)</t>
  </si>
  <si>
    <t>Los elementos del sistema que no se nombraron tienen espacio despreciable o no se encuentran en el cuarto de basuras</t>
  </si>
  <si>
    <t>TOTAL EN METROS CUADRADOS___________________________</t>
  </si>
  <si>
    <t>Espacio necesario para la disposicion de la camara:………………………………………</t>
  </si>
  <si>
    <t>359,1</t>
  </si>
  <si>
    <t>kg</t>
  </si>
  <si>
    <t>Número de pisos y apartamentos por piso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</si>
</sst>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\ * #,##0.00_-;\-&quot;$&quot;\ * #,##0.00_-;_-&quot;$&quot;\ * &quot;-&quot;??_-;_-@_-"/>
    <numFmt numFmtId="164" formatCode="[$COP]\ #,##0;\-[$COP]\ #,##0"/>
    <numFmt numFmtId="165" formatCode="[$COP]\ #,##0.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1"/>
    <xf numFmtId="2" fontId="0" fillId="0" borderId="0" xfId="0" applyNumberFormat="1" applyAlignment="1">
      <alignment horizontal="right"/>
    </xf>
    <xf numFmtId="0" fontId="4" fillId="0" borderId="0" xfId="0" applyFont="1"/>
    <xf numFmtId="0" fontId="6" fillId="0" borderId="0" xfId="0" applyFont="1"/>
    <xf numFmtId="44" fontId="7" fillId="0" borderId="0" xfId="0" applyNumberFormat="1" applyFont="1"/>
    <xf numFmtId="0" fontId="3" fillId="0" borderId="0" xfId="0" applyFont="1"/>
    <xf numFmtId="0" fontId="4" fillId="0" borderId="0" xfId="0" applyFont="1" applyAlignment="1">
      <alignment horizontal="left"/>
    </xf>
    <xf numFmtId="4" fontId="4" fillId="0" borderId="0" xfId="0" applyNumberFormat="1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4" fontId="7" fillId="0" borderId="2" xfId="2" applyNumberFormat="1" applyFont="1" applyBorder="1"/>
    <xf numFmtId="165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6" fillId="0" borderId="0" xfId="0" applyFont="1" applyBorder="1" applyAlignment="1"/>
    <xf numFmtId="2" fontId="0" fillId="0" borderId="0" xfId="0" applyNumberFormat="1"/>
    <xf numFmtId="0" fontId="6" fillId="0" borderId="1" xfId="0" applyFont="1" applyBorder="1" applyAlignment="1"/>
    <xf numFmtId="0" fontId="0" fillId="0" borderId="1" xfId="0" applyBorder="1"/>
    <xf numFmtId="2" fontId="7" fillId="0" borderId="0" xfId="0" applyNumberFormat="1" applyFont="1"/>
    <xf numFmtId="0" fontId="0" fillId="0" borderId="0" xfId="0" applyBorder="1"/>
    <xf numFmtId="0" fontId="0" fillId="2" borderId="0" xfId="0" applyFill="1" applyAlignment="1" applyProtection="1">
      <alignment vertical="top"/>
      <protection hidden="1"/>
    </xf>
    <xf numFmtId="0" fontId="0" fillId="2" borderId="0" xfId="0" applyFill="1" applyProtection="1">
      <protection hidden="1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 vertical="top" wrapText="1"/>
    </xf>
    <xf numFmtId="0" fontId="4" fillId="0" borderId="2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wrapText="1"/>
    </xf>
    <xf numFmtId="0" fontId="8" fillId="0" borderId="3" xfId="0" applyFont="1" applyBorder="1" applyAlignment="1">
      <alignment horizontal="center" wrapText="1"/>
    </xf>
    <xf numFmtId="0" fontId="8" fillId="0" borderId="5" xfId="0" applyFont="1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8" fillId="0" borderId="10" xfId="0" applyFont="1" applyBorder="1" applyAlignment="1">
      <alignment horizontal="center" wrapText="1"/>
    </xf>
    <xf numFmtId="0" fontId="7" fillId="0" borderId="1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13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6</xdr:row>
          <xdr:rowOff>47625</xdr:rowOff>
        </xdr:from>
        <xdr:to>
          <xdr:col>10</xdr:col>
          <xdr:colOff>504825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6</xdr:row>
          <xdr:rowOff>9525</xdr:rowOff>
        </xdr:from>
        <xdr:to>
          <xdr:col>8</xdr:col>
          <xdr:colOff>219075</xdr:colOff>
          <xdr:row>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Prueba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20</xdr:row>
      <xdr:rowOff>47625</xdr:rowOff>
    </xdr:from>
    <xdr:to>
      <xdr:col>2</xdr:col>
      <xdr:colOff>742950</xdr:colOff>
      <xdr:row>32</xdr:row>
      <xdr:rowOff>57150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848100"/>
          <a:ext cx="1371600" cy="226695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20</xdr:row>
      <xdr:rowOff>66675</xdr:rowOff>
    </xdr:from>
    <xdr:to>
      <xdr:col>5</xdr:col>
      <xdr:colOff>647700</xdr:colOff>
      <xdr:row>32</xdr:row>
      <xdr:rowOff>57150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3867150"/>
          <a:ext cx="1352550" cy="2247900"/>
        </a:xfrm>
        <a:prstGeom prst="rect">
          <a:avLst/>
        </a:prstGeom>
      </xdr:spPr>
    </xdr:pic>
    <xdr:clientData/>
  </xdr:twoCellAnchor>
  <xdr:twoCellAnchor editAs="oneCell">
    <xdr:from>
      <xdr:col>7</xdr:col>
      <xdr:colOff>9525</xdr:colOff>
      <xdr:row>20</xdr:row>
      <xdr:rowOff>66675</xdr:rowOff>
    </xdr:from>
    <xdr:to>
      <xdr:col>8</xdr:col>
      <xdr:colOff>704850</xdr:colOff>
      <xdr:row>32</xdr:row>
      <xdr:rowOff>57150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3867150"/>
          <a:ext cx="1323975" cy="2247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ublimetro.co/co/bogota/2018/02/15/que-dia-y-hora-pasa-el-camion-de-la-basura-en-su-localidad.ht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23"/>
  <sheetViews>
    <sheetView tabSelected="1" workbookViewId="0">
      <selection activeCell="J17" sqref="J17"/>
    </sheetView>
  </sheetViews>
  <sheetFormatPr baseColWidth="10" defaultColWidth="0" defaultRowHeight="15" zeroHeight="1" x14ac:dyDescent="0.25"/>
  <cols>
    <col min="1" max="17" width="11.42578125" style="25" customWidth="1"/>
    <col min="18" max="16384" width="11.42578125" style="25" hidden="1"/>
  </cols>
  <sheetData>
    <row r="1" spans="5:6" x14ac:dyDescent="0.25"/>
    <row r="2" spans="5:6" x14ac:dyDescent="0.25">
      <c r="E2" s="24"/>
      <c r="F2" s="24"/>
    </row>
    <row r="3" spans="5:6" x14ac:dyDescent="0.25"/>
    <row r="4" spans="5:6" x14ac:dyDescent="0.25"/>
    <row r="5" spans="5:6" x14ac:dyDescent="0.25"/>
    <row r="6" spans="5:6" x14ac:dyDescent="0.25"/>
    <row r="7" spans="5:6" x14ac:dyDescent="0.25"/>
    <row r="8" spans="5:6" x14ac:dyDescent="0.25"/>
    <row r="9" spans="5:6" x14ac:dyDescent="0.25"/>
    <row r="10" spans="5:6" x14ac:dyDescent="0.25"/>
    <row r="11" spans="5:6" x14ac:dyDescent="0.25"/>
    <row r="12" spans="5:6" x14ac:dyDescent="0.25"/>
    <row r="13" spans="5:6" x14ac:dyDescent="0.25"/>
    <row r="14" spans="5:6" x14ac:dyDescent="0.25"/>
    <row r="15" spans="5:6" x14ac:dyDescent="0.25"/>
    <row r="16" spans="5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sheetProtection algorithmName="SHA-512" hashValue="lQAT5I2m312ccsN3a6Y/Y1g++AkXy7RCUNPklFi0/jmccbIQwXhGmlSUbXnD1SLpVepqfgpN1SN8yE+hCkwjew==" saltValue="FHRt6LQME7b8/ntgTeGx4A==" spinCount="100000" sheet="1" object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Inicio">
                <anchor moveWithCells="1" sizeWithCells="1">
                  <from>
                    <xdr:col>5</xdr:col>
                    <xdr:colOff>352425</xdr:colOff>
                    <xdr:row>6</xdr:row>
                    <xdr:rowOff>47625</xdr:rowOff>
                  </from>
                  <to>
                    <xdr:col>10</xdr:col>
                    <xdr:colOff>504825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F29"/>
  <sheetViews>
    <sheetView topLeftCell="A5" zoomScaleNormal="100" workbookViewId="0">
      <selection activeCell="F1" sqref="F1"/>
    </sheetView>
  </sheetViews>
  <sheetFormatPr baseColWidth="10" defaultRowHeight="15" x14ac:dyDescent="0.25"/>
  <cols>
    <col min="1" max="1" width="12.28515625" bestFit="1" customWidth="1"/>
    <col min="4" max="4" width="12.28515625" bestFit="1" customWidth="1"/>
  </cols>
  <sheetData>
    <row r="1" spans="1:6" x14ac:dyDescent="0.25">
      <c r="A1" t="s">
        <v>1</v>
      </c>
      <c r="B1" t="s">
        <v>2</v>
      </c>
      <c r="F1" s="1" t="s">
        <v>33</v>
      </c>
    </row>
    <row r="2" spans="1:6" x14ac:dyDescent="0.25">
      <c r="A2" t="s">
        <v>3</v>
      </c>
      <c r="B2" t="s">
        <v>10</v>
      </c>
    </row>
    <row r="3" spans="1:6" x14ac:dyDescent="0.25">
      <c r="A3" t="s">
        <v>4</v>
      </c>
      <c r="B3" t="s">
        <v>10</v>
      </c>
    </row>
    <row r="4" spans="1:6" x14ac:dyDescent="0.25">
      <c r="A4" t="s">
        <v>5</v>
      </c>
      <c r="B4" t="s">
        <v>10</v>
      </c>
    </row>
    <row r="5" spans="1:6" x14ac:dyDescent="0.25">
      <c r="A5" t="s">
        <v>6</v>
      </c>
      <c r="B5" t="s">
        <v>10</v>
      </c>
    </row>
    <row r="6" spans="1:6" x14ac:dyDescent="0.25">
      <c r="A6" t="s">
        <v>7</v>
      </c>
      <c r="B6" t="s">
        <v>10</v>
      </c>
    </row>
    <row r="7" spans="1:6" x14ac:dyDescent="0.25">
      <c r="A7" t="s">
        <v>8</v>
      </c>
      <c r="B7" t="s">
        <v>10</v>
      </c>
    </row>
    <row r="8" spans="1:6" x14ac:dyDescent="0.25">
      <c r="A8" t="s">
        <v>9</v>
      </c>
      <c r="B8" t="s">
        <v>10</v>
      </c>
    </row>
    <row r="9" spans="1:6" x14ac:dyDescent="0.25">
      <c r="A9" t="s">
        <v>11</v>
      </c>
      <c r="B9" t="s">
        <v>19</v>
      </c>
    </row>
    <row r="10" spans="1:6" x14ac:dyDescent="0.25">
      <c r="A10" t="s">
        <v>12</v>
      </c>
      <c r="B10" t="s">
        <v>19</v>
      </c>
    </row>
    <row r="11" spans="1:6" x14ac:dyDescent="0.25">
      <c r="A11" t="s">
        <v>13</v>
      </c>
      <c r="B11" t="s">
        <v>19</v>
      </c>
      <c r="F11" t="s">
        <v>66</v>
      </c>
    </row>
    <row r="12" spans="1:6" x14ac:dyDescent="0.25">
      <c r="A12" t="s">
        <v>14</v>
      </c>
      <c r="B12" t="s">
        <v>19</v>
      </c>
    </row>
    <row r="13" spans="1:6" x14ac:dyDescent="0.25">
      <c r="A13" t="s">
        <v>15</v>
      </c>
      <c r="B13" t="s">
        <v>19</v>
      </c>
    </row>
    <row r="14" spans="1:6" x14ac:dyDescent="0.25">
      <c r="A14" t="s">
        <v>16</v>
      </c>
      <c r="B14" t="s">
        <v>19</v>
      </c>
    </row>
    <row r="15" spans="1:6" x14ac:dyDescent="0.25">
      <c r="A15" t="s">
        <v>17</v>
      </c>
      <c r="B15" t="s">
        <v>19</v>
      </c>
    </row>
    <row r="16" spans="1:6" x14ac:dyDescent="0.25">
      <c r="A16" t="s">
        <v>18</v>
      </c>
      <c r="B16" t="s">
        <v>19</v>
      </c>
    </row>
    <row r="17" spans="1:4" x14ac:dyDescent="0.25">
      <c r="A17" t="s">
        <v>20</v>
      </c>
      <c r="B17" t="s">
        <v>22</v>
      </c>
    </row>
    <row r="18" spans="1:4" x14ac:dyDescent="0.25">
      <c r="A18" t="s">
        <v>21</v>
      </c>
      <c r="B18" t="s">
        <v>22</v>
      </c>
    </row>
    <row r="19" spans="1:4" x14ac:dyDescent="0.25">
      <c r="A19" t="s">
        <v>23</v>
      </c>
      <c r="B19" t="s">
        <v>26</v>
      </c>
    </row>
    <row r="20" spans="1:4" x14ac:dyDescent="0.25">
      <c r="A20" t="s">
        <v>24</v>
      </c>
      <c r="B20" t="s">
        <v>26</v>
      </c>
    </row>
    <row r="21" spans="1:4" x14ac:dyDescent="0.25">
      <c r="A21" t="s">
        <v>25</v>
      </c>
      <c r="B21" t="s">
        <v>96</v>
      </c>
    </row>
    <row r="23" spans="1:4" x14ac:dyDescent="0.25">
      <c r="A23" s="13">
        <v>1000</v>
      </c>
    </row>
    <row r="24" spans="1:4" x14ac:dyDescent="0.25">
      <c r="A24" s="13">
        <v>1000</v>
      </c>
      <c r="D24" s="13">
        <v>1000</v>
      </c>
    </row>
    <row r="25" spans="1:4" x14ac:dyDescent="0.25">
      <c r="A25" s="13">
        <v>1</v>
      </c>
    </row>
    <row r="26" spans="1:4" x14ac:dyDescent="0.25">
      <c r="A26" s="13">
        <v>1</v>
      </c>
    </row>
    <row r="27" spans="1:4" x14ac:dyDescent="0.25">
      <c r="A27" s="13">
        <v>1</v>
      </c>
    </row>
    <row r="28" spans="1:4" x14ac:dyDescent="0.25">
      <c r="A28" s="13">
        <v>1</v>
      </c>
    </row>
    <row r="29" spans="1:4" x14ac:dyDescent="0.25">
      <c r="A29" s="13">
        <v>1</v>
      </c>
    </row>
  </sheetData>
  <hyperlinks>
    <hyperlink ref="F1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6</xdr:col>
                    <xdr:colOff>371475</xdr:colOff>
                    <xdr:row>6</xdr:row>
                    <xdr:rowOff>9525</xdr:rowOff>
                  </from>
                  <to>
                    <xdr:col>8</xdr:col>
                    <xdr:colOff>219075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64"/>
  <sheetViews>
    <sheetView workbookViewId="0">
      <selection activeCell="K3" sqref="K3"/>
    </sheetView>
  </sheetViews>
  <sheetFormatPr baseColWidth="10" defaultRowHeight="15" x14ac:dyDescent="0.25"/>
  <cols>
    <col min="6" max="6" width="18.85546875" bestFit="1" customWidth="1"/>
  </cols>
  <sheetData>
    <row r="1" spans="1:15" x14ac:dyDescent="0.25">
      <c r="A1" t="s">
        <v>1</v>
      </c>
      <c r="B1" t="s">
        <v>34</v>
      </c>
      <c r="C1" t="s">
        <v>37</v>
      </c>
      <c r="D1" t="s">
        <v>39</v>
      </c>
      <c r="E1" t="s">
        <v>27</v>
      </c>
      <c r="F1" t="s">
        <v>28</v>
      </c>
      <c r="H1" t="s">
        <v>0</v>
      </c>
      <c r="I1" t="s">
        <v>102</v>
      </c>
      <c r="K1" s="2">
        <v>17.2</v>
      </c>
    </row>
    <row r="2" spans="1:15" x14ac:dyDescent="0.25">
      <c r="A2">
        <v>1</v>
      </c>
      <c r="B2">
        <v>1</v>
      </c>
      <c r="C2">
        <v>3</v>
      </c>
      <c r="D2" t="s">
        <v>44</v>
      </c>
      <c r="E2" t="s">
        <v>32</v>
      </c>
      <c r="F2" t="s">
        <v>29</v>
      </c>
      <c r="G2">
        <f>A2+(B2/10)</f>
        <v>1.1000000000000001</v>
      </c>
      <c r="H2" t="s">
        <v>30</v>
      </c>
      <c r="I2" t="s">
        <v>3</v>
      </c>
      <c r="K2" t="s">
        <v>102</v>
      </c>
      <c r="L2" t="s">
        <v>103</v>
      </c>
      <c r="M2" t="s">
        <v>37</v>
      </c>
      <c r="N2" t="s">
        <v>27</v>
      </c>
      <c r="O2" t="s">
        <v>140</v>
      </c>
    </row>
    <row r="3" spans="1:15" x14ac:dyDescent="0.25">
      <c r="A3">
        <v>1</v>
      </c>
      <c r="B3">
        <v>2</v>
      </c>
      <c r="C3">
        <v>3</v>
      </c>
      <c r="D3" t="s">
        <v>40</v>
      </c>
      <c r="E3" t="s">
        <v>35</v>
      </c>
      <c r="F3" t="s">
        <v>36</v>
      </c>
      <c r="G3">
        <f t="shared" ref="G3:G64" si="0">A3+(B3/10)</f>
        <v>1.2</v>
      </c>
      <c r="H3" t="s">
        <v>31</v>
      </c>
      <c r="I3" t="s">
        <v>3</v>
      </c>
      <c r="K3" t="str">
        <f>INDEX(D2:I64,MATCH(K1,G2:G64,0),6)</f>
        <v>Fontibón</v>
      </c>
      <c r="L3" t="str">
        <f>INDEX(D2:I64,MATCH(K1,G2:G64,0),1)</f>
        <v>Rosada</v>
      </c>
      <c r="M3">
        <f>INDEX(C2:I64,MATCH(K1,G2:G64,0),1)</f>
        <v>3</v>
      </c>
      <c r="N3" t="str">
        <f>INDEX(C2:I64,MATCH(K1,G2:G64,0),3)</f>
        <v>Lunes, Miércoles y Viernes</v>
      </c>
      <c r="O3" t="str">
        <f>INDEX(C2:I64,MATCH(K1,G2:G64,0),4)</f>
        <v>De 7PM a 6AM</v>
      </c>
    </row>
    <row r="4" spans="1:15" x14ac:dyDescent="0.25">
      <c r="A4">
        <v>1</v>
      </c>
      <c r="B4">
        <v>3</v>
      </c>
      <c r="C4">
        <v>3</v>
      </c>
      <c r="D4" t="s">
        <v>41</v>
      </c>
      <c r="E4" t="s">
        <v>35</v>
      </c>
      <c r="F4" t="s">
        <v>29</v>
      </c>
      <c r="G4">
        <f t="shared" si="0"/>
        <v>1.3</v>
      </c>
      <c r="H4" t="s">
        <v>38</v>
      </c>
      <c r="I4" t="s">
        <v>3</v>
      </c>
    </row>
    <row r="5" spans="1:15" x14ac:dyDescent="0.25">
      <c r="A5">
        <v>2</v>
      </c>
      <c r="B5">
        <v>1</v>
      </c>
      <c r="C5">
        <v>3</v>
      </c>
      <c r="D5" t="s">
        <v>41</v>
      </c>
      <c r="E5" t="s">
        <v>35</v>
      </c>
      <c r="F5" t="s">
        <v>29</v>
      </c>
      <c r="G5">
        <f t="shared" si="0"/>
        <v>2.1</v>
      </c>
      <c r="H5" t="s">
        <v>42</v>
      </c>
      <c r="I5" t="s">
        <v>4</v>
      </c>
    </row>
    <row r="6" spans="1:15" x14ac:dyDescent="0.25">
      <c r="A6">
        <v>2</v>
      </c>
      <c r="B6">
        <v>2</v>
      </c>
      <c r="C6">
        <v>3</v>
      </c>
      <c r="D6" t="s">
        <v>43</v>
      </c>
      <c r="E6" t="s">
        <v>32</v>
      </c>
      <c r="F6" t="s">
        <v>36</v>
      </c>
      <c r="G6">
        <f t="shared" si="0"/>
        <v>2.2000000000000002</v>
      </c>
      <c r="H6" t="s">
        <v>45</v>
      </c>
      <c r="I6" t="s">
        <v>4</v>
      </c>
    </row>
    <row r="7" spans="1:15" x14ac:dyDescent="0.25">
      <c r="A7">
        <v>2</v>
      </c>
      <c r="B7">
        <v>3</v>
      </c>
      <c r="C7">
        <v>3</v>
      </c>
      <c r="D7" t="s">
        <v>44</v>
      </c>
      <c r="E7" t="s">
        <v>32</v>
      </c>
      <c r="F7" t="s">
        <v>29</v>
      </c>
      <c r="G7">
        <f t="shared" si="0"/>
        <v>2.2999999999999998</v>
      </c>
      <c r="H7" t="s">
        <v>46</v>
      </c>
      <c r="I7" t="s">
        <v>4</v>
      </c>
    </row>
    <row r="8" spans="1:15" x14ac:dyDescent="0.25">
      <c r="A8">
        <v>2</v>
      </c>
      <c r="B8">
        <v>4</v>
      </c>
      <c r="C8">
        <v>2</v>
      </c>
      <c r="D8" t="s">
        <v>47</v>
      </c>
      <c r="E8" t="s">
        <v>56</v>
      </c>
      <c r="F8" t="s">
        <v>49</v>
      </c>
      <c r="G8">
        <f t="shared" si="0"/>
        <v>2.4</v>
      </c>
      <c r="H8" t="s">
        <v>48</v>
      </c>
      <c r="I8" t="s">
        <v>4</v>
      </c>
    </row>
    <row r="9" spans="1:15" x14ac:dyDescent="0.25">
      <c r="A9">
        <v>3</v>
      </c>
      <c r="B9">
        <v>1</v>
      </c>
      <c r="C9">
        <v>2</v>
      </c>
      <c r="D9" t="s">
        <v>50</v>
      </c>
      <c r="E9" t="s">
        <v>56</v>
      </c>
      <c r="F9" t="s">
        <v>36</v>
      </c>
      <c r="G9">
        <f t="shared" si="0"/>
        <v>3.1</v>
      </c>
      <c r="H9" t="s">
        <v>51</v>
      </c>
      <c r="I9" t="s">
        <v>5</v>
      </c>
    </row>
    <row r="10" spans="1:15" x14ac:dyDescent="0.25">
      <c r="A10">
        <v>3</v>
      </c>
      <c r="B10">
        <v>2</v>
      </c>
      <c r="C10">
        <v>3</v>
      </c>
      <c r="D10" t="s">
        <v>43</v>
      </c>
      <c r="E10" t="s">
        <v>32</v>
      </c>
      <c r="F10" t="s">
        <v>36</v>
      </c>
      <c r="G10">
        <f t="shared" si="0"/>
        <v>3.2</v>
      </c>
      <c r="H10" t="s">
        <v>52</v>
      </c>
      <c r="I10" t="s">
        <v>5</v>
      </c>
    </row>
    <row r="11" spans="1:15" x14ac:dyDescent="0.25">
      <c r="A11">
        <v>4</v>
      </c>
      <c r="B11">
        <v>1</v>
      </c>
      <c r="C11">
        <v>2</v>
      </c>
      <c r="D11" t="s">
        <v>50</v>
      </c>
      <c r="E11" t="s">
        <v>56</v>
      </c>
      <c r="F11" t="s">
        <v>36</v>
      </c>
      <c r="G11">
        <f t="shared" si="0"/>
        <v>4.0999999999999996</v>
      </c>
      <c r="H11" t="s">
        <v>57</v>
      </c>
      <c r="I11" t="s">
        <v>6</v>
      </c>
    </row>
    <row r="12" spans="1:15" x14ac:dyDescent="0.25">
      <c r="A12">
        <v>5</v>
      </c>
      <c r="B12">
        <v>1</v>
      </c>
      <c r="C12">
        <v>2</v>
      </c>
      <c r="D12" t="s">
        <v>44</v>
      </c>
      <c r="E12" t="s">
        <v>56</v>
      </c>
      <c r="F12" t="s">
        <v>49</v>
      </c>
      <c r="G12">
        <f t="shared" si="0"/>
        <v>5.0999999999999996</v>
      </c>
      <c r="H12" t="s">
        <v>53</v>
      </c>
      <c r="I12" t="s">
        <v>7</v>
      </c>
    </row>
    <row r="13" spans="1:15" x14ac:dyDescent="0.25">
      <c r="A13">
        <v>5</v>
      </c>
      <c r="B13">
        <v>2</v>
      </c>
      <c r="C13">
        <v>3</v>
      </c>
      <c r="D13" t="s">
        <v>43</v>
      </c>
      <c r="E13" t="s">
        <v>32</v>
      </c>
      <c r="F13" t="s">
        <v>36</v>
      </c>
      <c r="G13">
        <f t="shared" si="0"/>
        <v>5.2</v>
      </c>
      <c r="H13" t="s">
        <v>54</v>
      </c>
      <c r="I13" t="s">
        <v>7</v>
      </c>
    </row>
    <row r="14" spans="1:15" x14ac:dyDescent="0.25">
      <c r="A14">
        <v>5</v>
      </c>
      <c r="B14">
        <v>3</v>
      </c>
      <c r="C14">
        <v>3</v>
      </c>
      <c r="D14" t="s">
        <v>40</v>
      </c>
      <c r="E14" t="s">
        <v>35</v>
      </c>
      <c r="F14" t="s">
        <v>36</v>
      </c>
      <c r="G14">
        <f t="shared" si="0"/>
        <v>5.3</v>
      </c>
      <c r="H14" t="s">
        <v>55</v>
      </c>
      <c r="I14" t="s">
        <v>7</v>
      </c>
    </row>
    <row r="15" spans="1:15" x14ac:dyDescent="0.25">
      <c r="A15">
        <v>6</v>
      </c>
      <c r="B15">
        <v>1</v>
      </c>
      <c r="C15">
        <v>3</v>
      </c>
      <c r="D15" t="s">
        <v>40</v>
      </c>
      <c r="E15" t="s">
        <v>35</v>
      </c>
      <c r="F15" t="s">
        <v>36</v>
      </c>
      <c r="G15">
        <f t="shared" si="0"/>
        <v>6.1</v>
      </c>
      <c r="H15" t="s">
        <v>55</v>
      </c>
      <c r="I15" t="s">
        <v>8</v>
      </c>
    </row>
    <row r="16" spans="1:15" x14ac:dyDescent="0.25">
      <c r="A16">
        <v>7</v>
      </c>
      <c r="B16">
        <v>0</v>
      </c>
      <c r="C16">
        <v>0</v>
      </c>
      <c r="D16">
        <v>0</v>
      </c>
      <c r="E16">
        <v>0</v>
      </c>
      <c r="F16">
        <v>0</v>
      </c>
      <c r="G16">
        <f t="shared" si="0"/>
        <v>7</v>
      </c>
      <c r="H16">
        <v>0</v>
      </c>
      <c r="I16" t="s">
        <v>9</v>
      </c>
    </row>
    <row r="17" spans="1:9" x14ac:dyDescent="0.25">
      <c r="A17">
        <v>8</v>
      </c>
      <c r="B17">
        <v>1</v>
      </c>
      <c r="C17">
        <v>3</v>
      </c>
      <c r="D17" t="s">
        <v>70</v>
      </c>
      <c r="E17" t="s">
        <v>35</v>
      </c>
      <c r="F17" t="s">
        <v>63</v>
      </c>
      <c r="G17">
        <f t="shared" si="0"/>
        <v>8.1</v>
      </c>
      <c r="H17" t="s">
        <v>59</v>
      </c>
      <c r="I17" t="s">
        <v>11</v>
      </c>
    </row>
    <row r="18" spans="1:9" x14ac:dyDescent="0.25">
      <c r="A18">
        <v>8</v>
      </c>
      <c r="B18">
        <v>2</v>
      </c>
      <c r="C18">
        <v>7</v>
      </c>
      <c r="D18" t="s">
        <v>44</v>
      </c>
      <c r="E18" t="s">
        <v>62</v>
      </c>
      <c r="F18" t="s">
        <v>63</v>
      </c>
      <c r="G18">
        <f t="shared" si="0"/>
        <v>8.1999999999999993</v>
      </c>
      <c r="H18" t="s">
        <v>0</v>
      </c>
      <c r="I18" t="s">
        <v>11</v>
      </c>
    </row>
    <row r="19" spans="1:9" x14ac:dyDescent="0.25">
      <c r="A19">
        <v>8</v>
      </c>
      <c r="B19">
        <v>3</v>
      </c>
      <c r="C19">
        <v>3</v>
      </c>
      <c r="D19" t="s">
        <v>43</v>
      </c>
      <c r="E19" t="s">
        <v>32</v>
      </c>
      <c r="F19" t="s">
        <v>36</v>
      </c>
      <c r="G19">
        <f t="shared" si="0"/>
        <v>8.3000000000000007</v>
      </c>
      <c r="H19" t="s">
        <v>65</v>
      </c>
      <c r="I19" t="s">
        <v>11</v>
      </c>
    </row>
    <row r="20" spans="1:9" x14ac:dyDescent="0.25">
      <c r="A20">
        <v>9</v>
      </c>
      <c r="B20">
        <v>1</v>
      </c>
      <c r="C20">
        <v>3</v>
      </c>
      <c r="D20" t="s">
        <v>40</v>
      </c>
      <c r="E20" t="s">
        <v>35</v>
      </c>
      <c r="F20" t="s">
        <v>36</v>
      </c>
      <c r="G20">
        <f t="shared" si="0"/>
        <v>9.1</v>
      </c>
      <c r="H20" t="s">
        <v>64</v>
      </c>
      <c r="I20" t="s">
        <v>12</v>
      </c>
    </row>
    <row r="21" spans="1:9" x14ac:dyDescent="0.25">
      <c r="A21">
        <v>9</v>
      </c>
      <c r="B21">
        <v>2</v>
      </c>
      <c r="C21">
        <v>3</v>
      </c>
      <c r="D21" t="s">
        <v>70</v>
      </c>
      <c r="E21" t="s">
        <v>35</v>
      </c>
      <c r="F21" t="s">
        <v>63</v>
      </c>
      <c r="G21">
        <f t="shared" si="0"/>
        <v>9.1999999999999993</v>
      </c>
      <c r="H21" t="s">
        <v>65</v>
      </c>
      <c r="I21" t="s">
        <v>12</v>
      </c>
    </row>
    <row r="22" spans="1:9" x14ac:dyDescent="0.25">
      <c r="A22">
        <v>10</v>
      </c>
      <c r="B22">
        <v>1</v>
      </c>
      <c r="C22">
        <v>3</v>
      </c>
      <c r="D22" t="s">
        <v>43</v>
      </c>
      <c r="E22" t="s">
        <v>32</v>
      </c>
      <c r="F22" t="s">
        <v>36</v>
      </c>
      <c r="G22">
        <f t="shared" si="0"/>
        <v>10.1</v>
      </c>
      <c r="H22" t="s">
        <v>67</v>
      </c>
      <c r="I22" t="s">
        <v>13</v>
      </c>
    </row>
    <row r="23" spans="1:9" x14ac:dyDescent="0.25">
      <c r="A23">
        <v>10</v>
      </c>
      <c r="B23">
        <v>2</v>
      </c>
      <c r="C23">
        <v>1</v>
      </c>
      <c r="D23" t="s">
        <v>60</v>
      </c>
      <c r="E23" t="s">
        <v>69</v>
      </c>
      <c r="F23" t="s">
        <v>36</v>
      </c>
      <c r="G23">
        <f t="shared" si="0"/>
        <v>10.199999999999999</v>
      </c>
      <c r="H23" t="s">
        <v>68</v>
      </c>
      <c r="I23" t="s">
        <v>13</v>
      </c>
    </row>
    <row r="24" spans="1:9" x14ac:dyDescent="0.25">
      <c r="A24">
        <v>10</v>
      </c>
      <c r="B24">
        <v>3</v>
      </c>
      <c r="C24">
        <v>3</v>
      </c>
      <c r="D24" t="s">
        <v>58</v>
      </c>
      <c r="E24" t="s">
        <v>32</v>
      </c>
      <c r="F24" t="s">
        <v>63</v>
      </c>
      <c r="G24">
        <f t="shared" si="0"/>
        <v>10.3</v>
      </c>
      <c r="H24" t="s">
        <v>59</v>
      </c>
      <c r="I24" t="s">
        <v>13</v>
      </c>
    </row>
    <row r="25" spans="1:9" x14ac:dyDescent="0.25">
      <c r="A25">
        <v>11</v>
      </c>
      <c r="B25">
        <v>1</v>
      </c>
      <c r="C25">
        <v>3</v>
      </c>
      <c r="D25" t="s">
        <v>58</v>
      </c>
      <c r="E25" t="s">
        <v>32</v>
      </c>
      <c r="F25" t="s">
        <v>63</v>
      </c>
      <c r="G25">
        <f t="shared" si="0"/>
        <v>11.1</v>
      </c>
      <c r="H25" t="s">
        <v>59</v>
      </c>
      <c r="I25" t="s">
        <v>14</v>
      </c>
    </row>
    <row r="26" spans="1:9" x14ac:dyDescent="0.25">
      <c r="A26">
        <v>11</v>
      </c>
      <c r="B26">
        <v>2</v>
      </c>
      <c r="C26">
        <v>7</v>
      </c>
      <c r="D26" t="s">
        <v>44</v>
      </c>
      <c r="E26" t="s">
        <v>62</v>
      </c>
      <c r="F26" t="s">
        <v>63</v>
      </c>
      <c r="G26">
        <f t="shared" si="0"/>
        <v>11.2</v>
      </c>
      <c r="H26" t="s">
        <v>61</v>
      </c>
      <c r="I26" t="s">
        <v>14</v>
      </c>
    </row>
    <row r="27" spans="1:9" x14ac:dyDescent="0.25">
      <c r="A27">
        <v>12</v>
      </c>
      <c r="B27">
        <v>1</v>
      </c>
      <c r="C27">
        <v>3</v>
      </c>
      <c r="D27" t="s">
        <v>43</v>
      </c>
      <c r="E27" t="s">
        <v>32</v>
      </c>
      <c r="F27" t="s">
        <v>36</v>
      </c>
      <c r="G27">
        <f t="shared" si="0"/>
        <v>12.1</v>
      </c>
      <c r="H27" t="s">
        <v>71</v>
      </c>
      <c r="I27" t="s">
        <v>15</v>
      </c>
    </row>
    <row r="28" spans="1:9" x14ac:dyDescent="0.25">
      <c r="A28">
        <v>12</v>
      </c>
      <c r="B28">
        <v>2</v>
      </c>
      <c r="C28">
        <v>3</v>
      </c>
      <c r="D28" t="s">
        <v>70</v>
      </c>
      <c r="E28" t="s">
        <v>35</v>
      </c>
      <c r="F28" t="s">
        <v>63</v>
      </c>
      <c r="G28">
        <f t="shared" si="0"/>
        <v>12.2</v>
      </c>
      <c r="H28" t="s">
        <v>72</v>
      </c>
      <c r="I28" t="s">
        <v>15</v>
      </c>
    </row>
    <row r="29" spans="1:9" x14ac:dyDescent="0.25">
      <c r="A29">
        <v>12</v>
      </c>
      <c r="B29">
        <v>3</v>
      </c>
      <c r="C29">
        <v>3</v>
      </c>
      <c r="D29" t="s">
        <v>58</v>
      </c>
      <c r="E29" t="s">
        <v>32</v>
      </c>
      <c r="F29" t="s">
        <v>63</v>
      </c>
      <c r="G29">
        <f t="shared" si="0"/>
        <v>12.3</v>
      </c>
      <c r="H29" t="s">
        <v>73</v>
      </c>
      <c r="I29" t="s">
        <v>15</v>
      </c>
    </row>
    <row r="30" spans="1:9" x14ac:dyDescent="0.25">
      <c r="A30">
        <v>12</v>
      </c>
      <c r="B30">
        <v>4</v>
      </c>
      <c r="C30">
        <v>7</v>
      </c>
      <c r="D30" t="s">
        <v>44</v>
      </c>
      <c r="E30" t="s">
        <v>62</v>
      </c>
      <c r="F30" t="s">
        <v>63</v>
      </c>
      <c r="G30">
        <f t="shared" si="0"/>
        <v>12.4</v>
      </c>
      <c r="H30" t="s">
        <v>61</v>
      </c>
      <c r="I30" t="s">
        <v>15</v>
      </c>
    </row>
    <row r="31" spans="1:9" x14ac:dyDescent="0.25">
      <c r="A31">
        <v>13</v>
      </c>
      <c r="B31">
        <v>1</v>
      </c>
      <c r="C31">
        <v>3</v>
      </c>
      <c r="D31" t="s">
        <v>58</v>
      </c>
      <c r="E31" t="s">
        <v>32</v>
      </c>
      <c r="F31" t="s">
        <v>63</v>
      </c>
      <c r="G31">
        <f t="shared" si="0"/>
        <v>13.1</v>
      </c>
      <c r="H31" t="s">
        <v>51</v>
      </c>
      <c r="I31" t="s">
        <v>16</v>
      </c>
    </row>
    <row r="32" spans="1:9" x14ac:dyDescent="0.25">
      <c r="A32">
        <v>13</v>
      </c>
      <c r="B32">
        <v>2</v>
      </c>
      <c r="C32">
        <v>2</v>
      </c>
      <c r="D32" t="s">
        <v>76</v>
      </c>
      <c r="E32" t="s">
        <v>56</v>
      </c>
      <c r="F32" t="s">
        <v>77</v>
      </c>
      <c r="G32">
        <f t="shared" si="0"/>
        <v>13.2</v>
      </c>
      <c r="H32" t="s">
        <v>51</v>
      </c>
      <c r="I32" t="s">
        <v>16</v>
      </c>
    </row>
    <row r="33" spans="1:9" x14ac:dyDescent="0.25">
      <c r="A33">
        <v>13</v>
      </c>
      <c r="B33">
        <v>3</v>
      </c>
      <c r="C33">
        <v>7</v>
      </c>
      <c r="D33" t="s">
        <v>70</v>
      </c>
      <c r="E33" t="s">
        <v>62</v>
      </c>
      <c r="F33" t="s">
        <v>36</v>
      </c>
      <c r="G33">
        <f t="shared" si="0"/>
        <v>13.3</v>
      </c>
      <c r="H33" t="s">
        <v>78</v>
      </c>
      <c r="I33" t="s">
        <v>16</v>
      </c>
    </row>
    <row r="34" spans="1:9" x14ac:dyDescent="0.25">
      <c r="A34">
        <v>13</v>
      </c>
      <c r="B34">
        <v>4</v>
      </c>
      <c r="C34">
        <v>2</v>
      </c>
      <c r="D34" t="s">
        <v>74</v>
      </c>
      <c r="E34" t="s">
        <v>56</v>
      </c>
      <c r="F34" t="s">
        <v>63</v>
      </c>
      <c r="G34">
        <f t="shared" si="0"/>
        <v>13.4</v>
      </c>
      <c r="H34" t="s">
        <v>75</v>
      </c>
      <c r="I34" t="s">
        <v>16</v>
      </c>
    </row>
    <row r="35" spans="1:9" x14ac:dyDescent="0.25">
      <c r="A35">
        <v>14</v>
      </c>
      <c r="B35">
        <v>1</v>
      </c>
      <c r="C35">
        <v>3</v>
      </c>
      <c r="D35" t="s">
        <v>70</v>
      </c>
      <c r="E35" t="s">
        <v>35</v>
      </c>
      <c r="F35" t="s">
        <v>63</v>
      </c>
      <c r="G35">
        <f t="shared" si="0"/>
        <v>14.1</v>
      </c>
      <c r="H35" t="s">
        <v>64</v>
      </c>
      <c r="I35" t="s">
        <v>17</v>
      </c>
    </row>
    <row r="36" spans="1:9" x14ac:dyDescent="0.25">
      <c r="A36">
        <v>14</v>
      </c>
      <c r="B36">
        <v>2</v>
      </c>
      <c r="C36">
        <v>1</v>
      </c>
      <c r="D36" t="s">
        <v>60</v>
      </c>
      <c r="E36" t="s">
        <v>69</v>
      </c>
      <c r="F36" t="s">
        <v>36</v>
      </c>
      <c r="G36">
        <f t="shared" si="0"/>
        <v>14.2</v>
      </c>
      <c r="H36" t="s">
        <v>79</v>
      </c>
      <c r="I36" t="s">
        <v>17</v>
      </c>
    </row>
    <row r="37" spans="1:9" x14ac:dyDescent="0.25">
      <c r="A37">
        <v>14</v>
      </c>
      <c r="B37">
        <v>3</v>
      </c>
      <c r="C37">
        <v>3</v>
      </c>
      <c r="D37" t="s">
        <v>58</v>
      </c>
      <c r="E37" t="s">
        <v>32</v>
      </c>
      <c r="F37" t="s">
        <v>63</v>
      </c>
      <c r="G37">
        <f t="shared" si="0"/>
        <v>14.3</v>
      </c>
      <c r="H37" t="s">
        <v>65</v>
      </c>
      <c r="I37" t="s">
        <v>17</v>
      </c>
    </row>
    <row r="38" spans="1:9" x14ac:dyDescent="0.25">
      <c r="A38">
        <v>15</v>
      </c>
      <c r="B38">
        <v>1</v>
      </c>
      <c r="C38">
        <v>3</v>
      </c>
      <c r="D38" t="s">
        <v>40</v>
      </c>
      <c r="E38" t="s">
        <v>35</v>
      </c>
      <c r="F38" t="s">
        <v>36</v>
      </c>
      <c r="G38">
        <f t="shared" si="0"/>
        <v>15.1</v>
      </c>
      <c r="H38" t="s">
        <v>80</v>
      </c>
      <c r="I38" t="s">
        <v>18</v>
      </c>
    </row>
    <row r="39" spans="1:9" x14ac:dyDescent="0.25">
      <c r="A39">
        <v>15</v>
      </c>
      <c r="B39">
        <v>2</v>
      </c>
      <c r="C39">
        <v>3</v>
      </c>
      <c r="D39" t="s">
        <v>70</v>
      </c>
      <c r="E39" t="s">
        <v>35</v>
      </c>
      <c r="F39" t="s">
        <v>63</v>
      </c>
      <c r="G39">
        <f t="shared" si="0"/>
        <v>15.2</v>
      </c>
      <c r="H39" t="s">
        <v>81</v>
      </c>
      <c r="I39" t="s">
        <v>18</v>
      </c>
    </row>
    <row r="40" spans="1:9" x14ac:dyDescent="0.25">
      <c r="A40">
        <v>15</v>
      </c>
      <c r="B40">
        <v>3</v>
      </c>
      <c r="C40">
        <v>3</v>
      </c>
      <c r="D40" t="s">
        <v>43</v>
      </c>
      <c r="E40" t="s">
        <v>32</v>
      </c>
      <c r="F40" t="s">
        <v>36</v>
      </c>
      <c r="G40">
        <f t="shared" si="0"/>
        <v>15.3</v>
      </c>
      <c r="H40" t="s">
        <v>71</v>
      </c>
      <c r="I40" t="s">
        <v>18</v>
      </c>
    </row>
    <row r="41" spans="1:9" x14ac:dyDescent="0.25">
      <c r="A41">
        <v>16</v>
      </c>
      <c r="B41">
        <v>1</v>
      </c>
      <c r="C41">
        <v>3</v>
      </c>
      <c r="D41" t="s">
        <v>82</v>
      </c>
      <c r="E41" t="s">
        <v>35</v>
      </c>
      <c r="F41" t="s">
        <v>83</v>
      </c>
      <c r="G41">
        <f t="shared" si="0"/>
        <v>16.100000000000001</v>
      </c>
      <c r="H41" t="s">
        <v>81</v>
      </c>
      <c r="I41" t="s">
        <v>20</v>
      </c>
    </row>
    <row r="42" spans="1:9" x14ac:dyDescent="0.25">
      <c r="A42">
        <v>16</v>
      </c>
      <c r="B42">
        <v>2</v>
      </c>
      <c r="C42">
        <v>3</v>
      </c>
      <c r="D42" t="s">
        <v>88</v>
      </c>
      <c r="E42" t="s">
        <v>32</v>
      </c>
      <c r="F42" t="s">
        <v>84</v>
      </c>
      <c r="G42">
        <f t="shared" si="0"/>
        <v>16.2</v>
      </c>
      <c r="H42" t="s">
        <v>81</v>
      </c>
      <c r="I42" t="s">
        <v>20</v>
      </c>
    </row>
    <row r="43" spans="1:9" x14ac:dyDescent="0.25">
      <c r="A43">
        <v>16</v>
      </c>
      <c r="B43">
        <v>3</v>
      </c>
      <c r="C43">
        <v>3</v>
      </c>
      <c r="D43" t="s">
        <v>40</v>
      </c>
      <c r="E43" t="s">
        <v>32</v>
      </c>
      <c r="F43" t="s">
        <v>85</v>
      </c>
      <c r="G43">
        <f t="shared" si="0"/>
        <v>16.3</v>
      </c>
      <c r="I43" t="s">
        <v>20</v>
      </c>
    </row>
    <row r="44" spans="1:9" x14ac:dyDescent="0.25">
      <c r="A44">
        <v>16</v>
      </c>
      <c r="B44">
        <v>4</v>
      </c>
      <c r="C44">
        <v>3</v>
      </c>
      <c r="D44" t="s">
        <v>41</v>
      </c>
      <c r="E44" t="s">
        <v>35</v>
      </c>
      <c r="F44" t="s">
        <v>85</v>
      </c>
      <c r="G44">
        <f t="shared" si="0"/>
        <v>16.399999999999999</v>
      </c>
      <c r="I44" t="s">
        <v>20</v>
      </c>
    </row>
    <row r="45" spans="1:9" x14ac:dyDescent="0.25">
      <c r="A45">
        <v>16</v>
      </c>
      <c r="B45">
        <v>5</v>
      </c>
      <c r="C45">
        <v>7</v>
      </c>
      <c r="D45" t="s">
        <v>86</v>
      </c>
      <c r="E45" t="s">
        <v>87</v>
      </c>
      <c r="F45" t="s">
        <v>36</v>
      </c>
      <c r="G45">
        <f t="shared" si="0"/>
        <v>16.5</v>
      </c>
      <c r="I45" t="s">
        <v>20</v>
      </c>
    </row>
    <row r="46" spans="1:9" x14ac:dyDescent="0.25">
      <c r="A46">
        <v>16</v>
      </c>
      <c r="B46">
        <v>6</v>
      </c>
      <c r="C46">
        <v>3</v>
      </c>
      <c r="D46" t="s">
        <v>89</v>
      </c>
      <c r="E46" t="s">
        <v>35</v>
      </c>
      <c r="F46" t="s">
        <v>84</v>
      </c>
      <c r="G46">
        <f t="shared" si="0"/>
        <v>16.600000000000001</v>
      </c>
      <c r="I46" t="s">
        <v>20</v>
      </c>
    </row>
    <row r="47" spans="1:9" x14ac:dyDescent="0.25">
      <c r="A47">
        <v>16</v>
      </c>
      <c r="B47">
        <v>7</v>
      </c>
      <c r="C47">
        <v>3</v>
      </c>
      <c r="D47" t="s">
        <v>90</v>
      </c>
      <c r="E47" t="s">
        <v>32</v>
      </c>
      <c r="F47" t="s">
        <v>83</v>
      </c>
      <c r="G47">
        <f t="shared" si="0"/>
        <v>16.7</v>
      </c>
      <c r="I47" t="s">
        <v>20</v>
      </c>
    </row>
    <row r="48" spans="1:9" x14ac:dyDescent="0.25">
      <c r="A48">
        <v>16</v>
      </c>
      <c r="B48">
        <v>8</v>
      </c>
      <c r="C48">
        <v>7</v>
      </c>
      <c r="D48" t="s">
        <v>92</v>
      </c>
      <c r="E48" t="s">
        <v>91</v>
      </c>
      <c r="F48" t="s">
        <v>36</v>
      </c>
      <c r="G48">
        <f t="shared" si="0"/>
        <v>16.8</v>
      </c>
      <c r="I48" t="s">
        <v>20</v>
      </c>
    </row>
    <row r="49" spans="1:9" x14ac:dyDescent="0.25">
      <c r="A49">
        <v>17</v>
      </c>
      <c r="B49">
        <v>1</v>
      </c>
      <c r="C49">
        <v>2</v>
      </c>
      <c r="D49" t="s">
        <v>93</v>
      </c>
      <c r="E49" t="s">
        <v>56</v>
      </c>
      <c r="F49" t="s">
        <v>94</v>
      </c>
      <c r="G49">
        <f t="shared" si="0"/>
        <v>17.100000000000001</v>
      </c>
      <c r="I49" t="s">
        <v>21</v>
      </c>
    </row>
    <row r="50" spans="1:9" x14ac:dyDescent="0.25">
      <c r="A50">
        <v>17</v>
      </c>
      <c r="B50">
        <v>2</v>
      </c>
      <c r="C50">
        <v>3</v>
      </c>
      <c r="D50" t="s">
        <v>82</v>
      </c>
      <c r="E50" t="s">
        <v>35</v>
      </c>
      <c r="F50" t="s">
        <v>83</v>
      </c>
      <c r="G50">
        <f t="shared" si="0"/>
        <v>17.2</v>
      </c>
      <c r="I50" t="s">
        <v>21</v>
      </c>
    </row>
    <row r="51" spans="1:9" x14ac:dyDescent="0.25">
      <c r="A51">
        <v>17</v>
      </c>
      <c r="B51">
        <v>3</v>
      </c>
      <c r="C51">
        <v>3</v>
      </c>
      <c r="D51" t="s">
        <v>40</v>
      </c>
      <c r="E51" t="s">
        <v>35</v>
      </c>
      <c r="F51" t="s">
        <v>95</v>
      </c>
      <c r="G51">
        <f t="shared" si="0"/>
        <v>17.3</v>
      </c>
      <c r="I51" t="s">
        <v>21</v>
      </c>
    </row>
    <row r="52" spans="1:9" x14ac:dyDescent="0.25">
      <c r="A52">
        <v>18</v>
      </c>
      <c r="B52">
        <v>1</v>
      </c>
      <c r="C52">
        <v>3</v>
      </c>
      <c r="D52" t="s">
        <v>43</v>
      </c>
      <c r="E52" t="s">
        <v>35</v>
      </c>
      <c r="F52" t="s">
        <v>97</v>
      </c>
      <c r="G52">
        <f t="shared" si="0"/>
        <v>18.100000000000001</v>
      </c>
      <c r="I52" t="s">
        <v>23</v>
      </c>
    </row>
    <row r="53" spans="1:9" x14ac:dyDescent="0.25">
      <c r="A53">
        <v>18</v>
      </c>
      <c r="B53">
        <v>2</v>
      </c>
      <c r="C53">
        <v>3</v>
      </c>
      <c r="D53" t="s">
        <v>70</v>
      </c>
      <c r="E53" t="s">
        <v>32</v>
      </c>
      <c r="F53" t="s">
        <v>97</v>
      </c>
      <c r="G53">
        <f t="shared" si="0"/>
        <v>18.2</v>
      </c>
      <c r="I53" t="s">
        <v>23</v>
      </c>
    </row>
    <row r="54" spans="1:9" x14ac:dyDescent="0.25">
      <c r="A54">
        <v>18</v>
      </c>
      <c r="B54">
        <v>3</v>
      </c>
      <c r="C54">
        <v>3</v>
      </c>
      <c r="D54" t="s">
        <v>98</v>
      </c>
      <c r="E54" t="s">
        <v>32</v>
      </c>
      <c r="F54" t="s">
        <v>99</v>
      </c>
      <c r="G54">
        <f t="shared" si="0"/>
        <v>18.3</v>
      </c>
      <c r="I54" t="s">
        <v>23</v>
      </c>
    </row>
    <row r="55" spans="1:9" x14ac:dyDescent="0.25">
      <c r="A55">
        <v>18</v>
      </c>
      <c r="B55">
        <v>4</v>
      </c>
      <c r="C55">
        <v>2</v>
      </c>
      <c r="D55" t="s">
        <v>50</v>
      </c>
      <c r="E55" t="s">
        <v>56</v>
      </c>
      <c r="F55" t="s">
        <v>97</v>
      </c>
      <c r="G55">
        <f t="shared" si="0"/>
        <v>18.399999999999999</v>
      </c>
      <c r="I55" t="s">
        <v>23</v>
      </c>
    </row>
    <row r="56" spans="1:9" x14ac:dyDescent="0.25">
      <c r="A56">
        <v>18</v>
      </c>
      <c r="B56">
        <v>5</v>
      </c>
      <c r="C56">
        <v>3</v>
      </c>
      <c r="D56" t="s">
        <v>82</v>
      </c>
      <c r="E56" t="s">
        <v>35</v>
      </c>
      <c r="F56" t="s">
        <v>99</v>
      </c>
      <c r="G56">
        <f t="shared" si="0"/>
        <v>18.5</v>
      </c>
      <c r="I56" t="s">
        <v>23</v>
      </c>
    </row>
    <row r="57" spans="1:9" x14ac:dyDescent="0.25">
      <c r="A57">
        <v>18</v>
      </c>
      <c r="B57">
        <v>6</v>
      </c>
      <c r="C57">
        <v>2</v>
      </c>
      <c r="D57" t="s">
        <v>74</v>
      </c>
      <c r="E57" t="s">
        <v>56</v>
      </c>
      <c r="F57" t="s">
        <v>99</v>
      </c>
      <c r="G57">
        <f t="shared" si="0"/>
        <v>18.600000000000001</v>
      </c>
      <c r="I57" t="s">
        <v>23</v>
      </c>
    </row>
    <row r="58" spans="1:9" x14ac:dyDescent="0.25">
      <c r="A58">
        <v>19</v>
      </c>
      <c r="B58">
        <v>1</v>
      </c>
      <c r="C58">
        <v>3</v>
      </c>
      <c r="D58" t="s">
        <v>98</v>
      </c>
      <c r="E58" t="s">
        <v>32</v>
      </c>
      <c r="F58" t="s">
        <v>99</v>
      </c>
      <c r="G58">
        <f t="shared" si="0"/>
        <v>19.100000000000001</v>
      </c>
      <c r="I58" t="s">
        <v>24</v>
      </c>
    </row>
    <row r="59" spans="1:9" x14ac:dyDescent="0.25">
      <c r="A59">
        <v>19</v>
      </c>
      <c r="B59">
        <v>2</v>
      </c>
      <c r="C59">
        <v>3</v>
      </c>
      <c r="D59" t="s">
        <v>82</v>
      </c>
      <c r="E59" t="s">
        <v>35</v>
      </c>
      <c r="F59" t="s">
        <v>99</v>
      </c>
      <c r="G59">
        <f t="shared" si="0"/>
        <v>19.2</v>
      </c>
      <c r="I59" t="s">
        <v>24</v>
      </c>
    </row>
    <row r="60" spans="1:9" x14ac:dyDescent="0.25">
      <c r="A60">
        <v>19</v>
      </c>
      <c r="B60">
        <v>3</v>
      </c>
      <c r="C60">
        <v>2</v>
      </c>
      <c r="D60" t="s">
        <v>74</v>
      </c>
      <c r="E60" t="s">
        <v>56</v>
      </c>
      <c r="F60" t="s">
        <v>99</v>
      </c>
      <c r="G60">
        <f t="shared" si="0"/>
        <v>19.3</v>
      </c>
      <c r="I60" t="s">
        <v>24</v>
      </c>
    </row>
    <row r="61" spans="1:9" x14ac:dyDescent="0.25">
      <c r="A61">
        <v>20</v>
      </c>
      <c r="B61">
        <v>1</v>
      </c>
      <c r="C61">
        <v>3</v>
      </c>
      <c r="D61" t="s">
        <v>70</v>
      </c>
      <c r="E61" t="s">
        <v>35</v>
      </c>
      <c r="F61" t="s">
        <v>100</v>
      </c>
      <c r="G61">
        <f t="shared" si="0"/>
        <v>20.100000000000001</v>
      </c>
      <c r="I61" t="s">
        <v>25</v>
      </c>
    </row>
    <row r="62" spans="1:9" x14ac:dyDescent="0.25">
      <c r="A62">
        <v>20</v>
      </c>
      <c r="B62">
        <v>2</v>
      </c>
      <c r="C62">
        <v>3</v>
      </c>
      <c r="D62" t="s">
        <v>50</v>
      </c>
      <c r="E62" t="s">
        <v>35</v>
      </c>
      <c r="F62" t="s">
        <v>101</v>
      </c>
      <c r="G62">
        <f t="shared" si="0"/>
        <v>20.2</v>
      </c>
      <c r="I62" t="s">
        <v>25</v>
      </c>
    </row>
    <row r="63" spans="1:9" x14ac:dyDescent="0.25">
      <c r="A63">
        <v>20</v>
      </c>
      <c r="B63">
        <v>3</v>
      </c>
      <c r="C63">
        <v>3</v>
      </c>
      <c r="D63" t="s">
        <v>74</v>
      </c>
      <c r="E63" t="s">
        <v>32</v>
      </c>
      <c r="F63" t="s">
        <v>100</v>
      </c>
      <c r="G63">
        <f t="shared" si="0"/>
        <v>20.3</v>
      </c>
      <c r="I63" t="s">
        <v>25</v>
      </c>
    </row>
    <row r="64" spans="1:9" x14ac:dyDescent="0.25">
      <c r="A64">
        <v>20</v>
      </c>
      <c r="B64">
        <v>4</v>
      </c>
      <c r="C64">
        <v>3</v>
      </c>
      <c r="D64" t="s">
        <v>43</v>
      </c>
      <c r="E64" t="s">
        <v>32</v>
      </c>
      <c r="F64" t="s">
        <v>101</v>
      </c>
      <c r="G64">
        <f t="shared" si="0"/>
        <v>20.399999999999999</v>
      </c>
      <c r="I64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102"/>
  <sheetViews>
    <sheetView topLeftCell="A38" zoomScaleNormal="100" zoomScaleSheetLayoutView="110" workbookViewId="0">
      <selection activeCell="E48" sqref="E48:E49"/>
    </sheetView>
  </sheetViews>
  <sheetFormatPr baseColWidth="10" defaultRowHeight="15" x14ac:dyDescent="0.25"/>
  <cols>
    <col min="1" max="1" width="4.5703125" customWidth="1"/>
    <col min="2" max="2" width="6.5703125" customWidth="1"/>
    <col min="4" max="4" width="7.5703125" customWidth="1"/>
    <col min="7" max="7" width="9.5703125" customWidth="1"/>
    <col min="8" max="8" width="9.42578125" customWidth="1"/>
    <col min="9" max="9" width="16" customWidth="1"/>
  </cols>
  <sheetData>
    <row r="1" spans="1:9" ht="15" customHeight="1" x14ac:dyDescent="0.25">
      <c r="A1" s="36" t="s">
        <v>111</v>
      </c>
      <c r="B1" s="36"/>
      <c r="C1" s="36"/>
      <c r="D1" s="36"/>
      <c r="E1" s="36"/>
      <c r="F1" s="36"/>
      <c r="G1" s="36"/>
      <c r="H1" s="36"/>
      <c r="I1" s="36"/>
    </row>
    <row r="2" spans="1:9" ht="15" customHeight="1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9" x14ac:dyDescent="0.25">
      <c r="B3" s="3"/>
      <c r="C3" s="3"/>
      <c r="D3" s="3"/>
      <c r="E3" s="3"/>
      <c r="F3" s="3"/>
      <c r="G3" s="3"/>
      <c r="H3" s="3"/>
      <c r="I3" s="3"/>
    </row>
    <row r="4" spans="1:9" ht="18.75" x14ac:dyDescent="0.3">
      <c r="B4" s="6" t="s">
        <v>129</v>
      </c>
      <c r="C4" s="3"/>
      <c r="D4" s="3"/>
      <c r="E4" s="3"/>
      <c r="F4" s="3"/>
      <c r="G4" s="3"/>
      <c r="H4" s="3"/>
      <c r="I4" s="3"/>
    </row>
    <row r="5" spans="1:9" x14ac:dyDescent="0.25">
      <c r="B5" s="4" t="s">
        <v>128</v>
      </c>
      <c r="C5" s="3"/>
      <c r="D5" s="3"/>
      <c r="E5" s="3"/>
      <c r="F5" s="3"/>
      <c r="G5" s="3"/>
      <c r="H5" s="3"/>
      <c r="I5" s="3"/>
    </row>
    <row r="6" spans="1:9" x14ac:dyDescent="0.25">
      <c r="C6" s="3"/>
      <c r="D6" s="3"/>
      <c r="E6" s="3"/>
      <c r="F6" s="3"/>
      <c r="G6" s="3"/>
      <c r="H6" s="3"/>
    </row>
    <row r="7" spans="1:9" x14ac:dyDescent="0.25">
      <c r="B7" s="3"/>
      <c r="C7" s="3"/>
      <c r="D7" s="3"/>
      <c r="E7" s="3"/>
      <c r="F7" s="3"/>
      <c r="G7" s="3"/>
      <c r="H7" s="3"/>
    </row>
    <row r="8" spans="1:9" x14ac:dyDescent="0.25">
      <c r="B8" s="3" t="s">
        <v>112</v>
      </c>
      <c r="C8" s="3"/>
      <c r="D8" s="3"/>
      <c r="E8" s="3"/>
      <c r="F8" s="3" t="s">
        <v>157</v>
      </c>
      <c r="G8" s="3"/>
      <c r="H8" s="3"/>
    </row>
    <row r="9" spans="1:9" x14ac:dyDescent="0.25">
      <c r="B9" s="3"/>
      <c r="C9" s="3"/>
      <c r="D9" s="3"/>
      <c r="E9" s="3"/>
      <c r="F9" s="3"/>
      <c r="G9" s="3"/>
      <c r="H9" s="3"/>
    </row>
    <row r="10" spans="1:9" x14ac:dyDescent="0.25">
      <c r="B10" s="3" t="s">
        <v>113</v>
      </c>
      <c r="C10" s="3"/>
      <c r="D10" s="3"/>
      <c r="E10" s="3"/>
      <c r="F10" s="3"/>
      <c r="G10" s="3"/>
      <c r="H10" s="3"/>
    </row>
    <row r="11" spans="1:9" ht="12.75" customHeight="1" x14ac:dyDescent="0.25">
      <c r="B11" s="3"/>
      <c r="C11" s="3"/>
      <c r="D11" s="3"/>
      <c r="E11" s="3"/>
      <c r="F11" s="3"/>
      <c r="G11" s="3"/>
      <c r="H11" s="3"/>
    </row>
    <row r="12" spans="1:9" x14ac:dyDescent="0.25">
      <c r="A12" s="14" t="s">
        <v>143</v>
      </c>
      <c r="B12" s="3">
        <v>23</v>
      </c>
      <c r="C12" s="3" t="s">
        <v>114</v>
      </c>
      <c r="D12" s="3"/>
      <c r="E12" s="9" t="s">
        <v>143</v>
      </c>
      <c r="F12" s="9">
        <v>8</v>
      </c>
      <c r="G12" s="3" t="s">
        <v>116</v>
      </c>
      <c r="H12" s="3"/>
      <c r="I12" s="11"/>
    </row>
    <row r="13" spans="1:9" x14ac:dyDescent="0.25">
      <c r="A13" s="14"/>
      <c r="B13" s="3"/>
      <c r="C13" s="3"/>
      <c r="D13" s="3"/>
      <c r="E13" s="3"/>
      <c r="F13" s="3"/>
      <c r="G13" s="3"/>
      <c r="H13" s="3"/>
    </row>
    <row r="14" spans="1:9" x14ac:dyDescent="0.25">
      <c r="A14" s="14" t="s">
        <v>143</v>
      </c>
      <c r="B14" s="3">
        <v>184</v>
      </c>
      <c r="C14" s="3" t="s">
        <v>115</v>
      </c>
      <c r="D14" s="3"/>
      <c r="E14" s="3"/>
      <c r="F14" s="3"/>
      <c r="G14" s="3"/>
      <c r="H14" s="3"/>
    </row>
    <row r="15" spans="1:9" ht="12.75" customHeight="1" x14ac:dyDescent="0.25">
      <c r="A15" s="14"/>
      <c r="B15" s="3"/>
      <c r="C15" s="3"/>
      <c r="D15" s="3"/>
      <c r="E15" s="3"/>
      <c r="F15" s="3"/>
      <c r="G15" s="3"/>
      <c r="H15" s="3"/>
    </row>
    <row r="16" spans="1:9" x14ac:dyDescent="0.25">
      <c r="A16" s="14" t="s">
        <v>143</v>
      </c>
      <c r="B16" s="3">
        <v>570</v>
      </c>
      <c r="C16" s="3" t="s">
        <v>117</v>
      </c>
      <c r="D16" s="3"/>
      <c r="E16" s="3"/>
      <c r="F16" s="3"/>
      <c r="G16" s="3"/>
      <c r="H16" s="3"/>
    </row>
    <row r="17" spans="1:9" x14ac:dyDescent="0.25">
      <c r="A17" s="14"/>
      <c r="B17" s="3"/>
      <c r="C17" s="3"/>
      <c r="D17" s="3"/>
      <c r="E17" s="3"/>
      <c r="F17" s="3"/>
      <c r="G17" s="3"/>
      <c r="H17" s="3"/>
    </row>
    <row r="18" spans="1:9" x14ac:dyDescent="0.25">
      <c r="A18" s="14" t="s">
        <v>143</v>
      </c>
      <c r="B18" s="9" t="s">
        <v>155</v>
      </c>
      <c r="C18" s="3" t="s">
        <v>156</v>
      </c>
      <c r="D18" s="3" t="s">
        <v>144</v>
      </c>
      <c r="E18" s="3"/>
      <c r="F18" s="3"/>
      <c r="G18" s="3"/>
      <c r="H18" s="3"/>
    </row>
    <row r="19" spans="1:9" x14ac:dyDescent="0.25">
      <c r="B19" s="3"/>
      <c r="C19" s="3"/>
      <c r="D19" s="3"/>
      <c r="E19" s="3"/>
      <c r="F19" s="3"/>
      <c r="G19" s="3"/>
      <c r="H19" s="3"/>
    </row>
    <row r="20" spans="1:9" x14ac:dyDescent="0.25">
      <c r="B20" s="3" t="s">
        <v>118</v>
      </c>
      <c r="C20" s="3"/>
      <c r="D20" s="3"/>
      <c r="E20" s="3"/>
      <c r="F20" s="3"/>
      <c r="G20" s="3"/>
      <c r="H20" s="3"/>
    </row>
    <row r="28" spans="1:9" ht="12.75" customHeight="1" x14ac:dyDescent="0.25"/>
    <row r="31" spans="1:9" x14ac:dyDescent="0.25">
      <c r="B31" s="3"/>
      <c r="C31" s="3"/>
      <c r="D31" s="3"/>
      <c r="E31" s="3"/>
      <c r="F31" s="3"/>
      <c r="G31" s="3"/>
      <c r="H31" s="3"/>
      <c r="I31" s="3"/>
    </row>
    <row r="32" spans="1:9" x14ac:dyDescent="0.25">
      <c r="B32" s="3"/>
      <c r="C32" s="3"/>
      <c r="D32" s="3"/>
      <c r="E32" s="3"/>
      <c r="F32" s="3"/>
      <c r="G32" s="3"/>
      <c r="H32" s="3"/>
      <c r="I32" s="3"/>
    </row>
    <row r="33" spans="2:9" ht="9.75" customHeight="1" x14ac:dyDescent="0.25">
      <c r="B33" s="3"/>
      <c r="C33" s="3"/>
      <c r="D33" s="3"/>
      <c r="E33" s="3"/>
      <c r="F33" s="3"/>
      <c r="G33" s="3"/>
      <c r="H33" s="3"/>
      <c r="I33" s="3"/>
    </row>
    <row r="34" spans="2:9" x14ac:dyDescent="0.25">
      <c r="B34" s="8">
        <v>109.70505</v>
      </c>
      <c r="C34" s="3" t="s">
        <v>156</v>
      </c>
      <c r="D34" s="3"/>
      <c r="E34" s="8">
        <v>184.29012</v>
      </c>
      <c r="F34" s="3" t="s">
        <v>156</v>
      </c>
      <c r="G34" s="3"/>
      <c r="H34" s="8">
        <v>65.104830000000007</v>
      </c>
      <c r="I34" s="3" t="s">
        <v>156</v>
      </c>
    </row>
    <row r="35" spans="2:9" x14ac:dyDescent="0.25">
      <c r="C35" s="3"/>
      <c r="D35" s="3"/>
      <c r="E35" s="3"/>
      <c r="F35" s="3"/>
      <c r="G35" s="3"/>
      <c r="H35" s="3"/>
      <c r="I35" s="3"/>
    </row>
    <row r="36" spans="2:9" x14ac:dyDescent="0.25">
      <c r="B36" s="3"/>
      <c r="C36" s="3"/>
      <c r="D36" s="3"/>
      <c r="E36" s="3"/>
      <c r="F36" s="3"/>
      <c r="G36" s="3"/>
      <c r="H36" s="3"/>
      <c r="I36" s="3"/>
    </row>
    <row r="37" spans="2:9" x14ac:dyDescent="0.25">
      <c r="B37" s="3" t="s">
        <v>127</v>
      </c>
      <c r="C37" s="3"/>
      <c r="D37" s="3"/>
      <c r="E37" s="3"/>
      <c r="F37" s="3" t="s">
        <v>21</v>
      </c>
      <c r="H37" s="3"/>
      <c r="I37" s="3"/>
    </row>
    <row r="38" spans="2:9" x14ac:dyDescent="0.25">
      <c r="C38" s="3"/>
      <c r="D38" s="3"/>
      <c r="E38" s="3"/>
      <c r="F38" s="3"/>
      <c r="G38" s="3"/>
      <c r="H38" s="3"/>
      <c r="I38" s="3"/>
    </row>
    <row r="39" spans="2:9" x14ac:dyDescent="0.25">
      <c r="B39" s="3" t="s">
        <v>119</v>
      </c>
      <c r="D39" s="3"/>
      <c r="E39" s="3"/>
      <c r="F39" s="3"/>
      <c r="H39" s="15" t="s">
        <v>35</v>
      </c>
      <c r="I39" s="3"/>
    </row>
    <row r="40" spans="2:9" x14ac:dyDescent="0.25">
      <c r="B40" t="s">
        <v>83</v>
      </c>
      <c r="C40" s="3"/>
      <c r="D40" s="3" t="s">
        <v>142</v>
      </c>
      <c r="G40" s="3"/>
      <c r="H40" s="10">
        <v>3</v>
      </c>
      <c r="I40" s="7"/>
    </row>
    <row r="41" spans="2:9" x14ac:dyDescent="0.25">
      <c r="B41" s="3"/>
      <c r="C41" s="3"/>
      <c r="D41" s="3"/>
      <c r="E41" s="3"/>
      <c r="F41" s="3"/>
      <c r="G41" s="3"/>
      <c r="H41" s="3"/>
      <c r="I41" s="3"/>
    </row>
    <row r="42" spans="2:9" x14ac:dyDescent="0.25">
      <c r="B42" s="3" t="s">
        <v>120</v>
      </c>
      <c r="C42" s="3"/>
      <c r="D42" s="3"/>
      <c r="E42" s="3"/>
      <c r="F42" s="3"/>
      <c r="G42" s="3"/>
      <c r="H42" s="3"/>
      <c r="I42" s="3"/>
    </row>
    <row r="43" spans="2:9" ht="15.75" thickBot="1" x14ac:dyDescent="0.3">
      <c r="B43" s="3"/>
      <c r="C43" s="3"/>
      <c r="D43" s="3"/>
      <c r="E43" s="3"/>
      <c r="F43" s="3"/>
      <c r="G43" s="3"/>
      <c r="H43" s="3"/>
      <c r="I43" s="3"/>
    </row>
    <row r="44" spans="2:9" x14ac:dyDescent="0.25">
      <c r="C44" s="40" t="s">
        <v>126</v>
      </c>
      <c r="D44" s="41"/>
      <c r="E44" s="48" t="s">
        <v>141</v>
      </c>
      <c r="F44" s="46" t="s">
        <v>121</v>
      </c>
      <c r="G44" s="44" t="s">
        <v>122</v>
      </c>
      <c r="H44" s="3"/>
      <c r="I44" s="3"/>
    </row>
    <row r="45" spans="2:9" ht="15.75" thickBot="1" x14ac:dyDescent="0.3">
      <c r="B45" s="3"/>
      <c r="C45" s="42"/>
      <c r="D45" s="43"/>
      <c r="E45" s="49"/>
      <c r="F45" s="47"/>
      <c r="G45" s="45"/>
      <c r="H45" s="3"/>
      <c r="I45" s="3"/>
    </row>
    <row r="46" spans="2:9" ht="13.5" customHeight="1" x14ac:dyDescent="0.25">
      <c r="B46" s="3"/>
      <c r="C46" s="54" t="s">
        <v>123</v>
      </c>
      <c r="D46" s="55"/>
      <c r="E46" s="35">
        <v>1</v>
      </c>
      <c r="F46" s="34">
        <v>1</v>
      </c>
      <c r="G46" s="33">
        <v>0</v>
      </c>
      <c r="H46" s="3"/>
      <c r="I46" s="3"/>
    </row>
    <row r="47" spans="2:9" ht="13.5" customHeight="1" x14ac:dyDescent="0.25">
      <c r="B47" s="3"/>
      <c r="C47" s="50"/>
      <c r="D47" s="51"/>
      <c r="E47" s="32"/>
      <c r="F47" s="31"/>
      <c r="G47" s="29"/>
      <c r="H47" s="3"/>
      <c r="I47" s="3"/>
    </row>
    <row r="48" spans="2:9" ht="13.5" customHeight="1" x14ac:dyDescent="0.25">
      <c r="B48" s="3"/>
      <c r="C48" s="50" t="s">
        <v>124</v>
      </c>
      <c r="D48" s="51"/>
      <c r="E48" s="32">
        <v>2</v>
      </c>
      <c r="F48" s="30">
        <v>0</v>
      </c>
      <c r="G48" s="28">
        <v>1</v>
      </c>
      <c r="H48" s="3"/>
      <c r="I48" s="3"/>
    </row>
    <row r="49" spans="2:9" ht="13.5" customHeight="1" x14ac:dyDescent="0.25">
      <c r="B49" s="3"/>
      <c r="C49" s="50"/>
      <c r="D49" s="51"/>
      <c r="E49" s="32"/>
      <c r="F49" s="31"/>
      <c r="G49" s="29"/>
      <c r="H49" s="3"/>
      <c r="I49" s="3"/>
    </row>
    <row r="50" spans="2:9" ht="13.5" customHeight="1" x14ac:dyDescent="0.25">
      <c r="B50" s="3"/>
      <c r="C50" s="50" t="s">
        <v>125</v>
      </c>
      <c r="D50" s="51"/>
      <c r="E50" s="32">
        <v>1</v>
      </c>
      <c r="F50" s="30">
        <v>0</v>
      </c>
      <c r="G50" s="28">
        <v>0</v>
      </c>
      <c r="H50" s="3"/>
      <c r="I50" s="3"/>
    </row>
    <row r="51" spans="2:9" ht="13.5" customHeight="1" thickBot="1" x14ac:dyDescent="0.3">
      <c r="B51" s="3"/>
      <c r="C51" s="52"/>
      <c r="D51" s="53"/>
      <c r="E51" s="58"/>
      <c r="F51" s="57"/>
      <c r="G51" s="56"/>
      <c r="H51" s="3"/>
      <c r="I51" s="3"/>
    </row>
    <row r="52" spans="2:9" x14ac:dyDescent="0.25">
      <c r="B52" s="3"/>
      <c r="C52" s="3"/>
      <c r="D52" s="3"/>
      <c r="E52" s="3"/>
      <c r="F52" s="3"/>
      <c r="G52" s="3"/>
      <c r="H52" s="3"/>
      <c r="I52" s="3"/>
    </row>
    <row r="53" spans="2:9" x14ac:dyDescent="0.25">
      <c r="B53" s="3"/>
      <c r="C53" s="3"/>
      <c r="D53" s="3"/>
      <c r="E53" s="3"/>
      <c r="F53" s="3"/>
      <c r="G53" s="3"/>
      <c r="H53" s="3"/>
      <c r="I53" s="3"/>
    </row>
    <row r="54" spans="2:9" ht="18.75" x14ac:dyDescent="0.3">
      <c r="B54" s="6" t="s">
        <v>130</v>
      </c>
      <c r="C54" s="3"/>
      <c r="D54" s="3"/>
      <c r="E54" s="3"/>
      <c r="F54" s="3"/>
      <c r="G54" s="3"/>
      <c r="H54" s="3"/>
      <c r="I54" s="3"/>
    </row>
    <row r="55" spans="2:9" x14ac:dyDescent="0.25">
      <c r="B55" s="27" t="s">
        <v>139</v>
      </c>
      <c r="C55" s="27"/>
      <c r="D55" s="27"/>
      <c r="E55" s="27"/>
      <c r="F55" s="27"/>
      <c r="G55" s="27"/>
      <c r="H55" s="27"/>
      <c r="I55" s="27"/>
    </row>
    <row r="56" spans="2:9" x14ac:dyDescent="0.25">
      <c r="B56" s="27"/>
      <c r="C56" s="27"/>
      <c r="D56" s="27"/>
      <c r="E56" s="27"/>
      <c r="F56" s="27"/>
      <c r="G56" s="27"/>
      <c r="H56" s="27"/>
      <c r="I56" s="27"/>
    </row>
    <row r="57" spans="2:9" x14ac:dyDescent="0.25">
      <c r="B57" s="3"/>
      <c r="C57" s="3"/>
      <c r="D57" s="3"/>
      <c r="E57" s="3"/>
      <c r="F57" s="3"/>
      <c r="G57" s="3"/>
      <c r="H57" s="3"/>
      <c r="I57" s="3"/>
    </row>
    <row r="58" spans="2:9" x14ac:dyDescent="0.25">
      <c r="B58" s="26" t="s">
        <v>132</v>
      </c>
      <c r="C58" s="26"/>
      <c r="D58" s="26"/>
      <c r="E58" s="26"/>
      <c r="F58" s="26"/>
      <c r="G58" s="26"/>
      <c r="H58" s="26"/>
      <c r="I58" s="12">
        <v>12350000</v>
      </c>
    </row>
    <row r="59" spans="2:9" x14ac:dyDescent="0.25">
      <c r="B59" s="4" t="s">
        <v>105</v>
      </c>
      <c r="C59" s="3"/>
      <c r="D59" s="3"/>
      <c r="E59" s="3"/>
      <c r="F59" s="3"/>
      <c r="G59" s="3"/>
      <c r="H59" s="3"/>
      <c r="I59" s="3"/>
    </row>
    <row r="60" spans="2:9" x14ac:dyDescent="0.25">
      <c r="C60" s="3"/>
      <c r="D60" s="3"/>
      <c r="E60" s="3"/>
      <c r="F60" s="3"/>
      <c r="G60" s="3"/>
      <c r="H60" s="3"/>
      <c r="I60" s="3"/>
    </row>
    <row r="61" spans="2:9" x14ac:dyDescent="0.25">
      <c r="B61" s="26" t="s">
        <v>131</v>
      </c>
      <c r="C61" s="26"/>
      <c r="D61" s="26"/>
      <c r="E61" s="26"/>
      <c r="F61" s="26"/>
      <c r="G61" s="26"/>
      <c r="H61" s="26"/>
      <c r="I61" s="12">
        <v>14000000</v>
      </c>
    </row>
    <row r="62" spans="2:9" x14ac:dyDescent="0.25">
      <c r="B62" s="38" t="s">
        <v>104</v>
      </c>
      <c r="C62" s="38"/>
      <c r="D62" s="38"/>
      <c r="E62" s="38"/>
      <c r="F62" s="38"/>
      <c r="G62" s="38"/>
      <c r="H62" s="38"/>
      <c r="I62" s="38"/>
    </row>
    <row r="63" spans="2:9" x14ac:dyDescent="0.25">
      <c r="B63" s="38"/>
      <c r="C63" s="38"/>
      <c r="D63" s="38"/>
      <c r="E63" s="38"/>
      <c r="F63" s="38"/>
      <c r="G63" s="38"/>
      <c r="H63" s="38"/>
      <c r="I63" s="38"/>
    </row>
    <row r="64" spans="2:9" x14ac:dyDescent="0.25">
      <c r="C64" s="3"/>
      <c r="D64" s="3"/>
      <c r="E64" s="3"/>
      <c r="F64" s="3"/>
      <c r="G64" s="3"/>
      <c r="H64" s="3"/>
      <c r="I64" s="3"/>
    </row>
    <row r="65" spans="2:9" x14ac:dyDescent="0.25">
      <c r="B65" s="26" t="s">
        <v>133</v>
      </c>
      <c r="C65" s="26"/>
      <c r="D65" s="26"/>
      <c r="E65" s="26"/>
      <c r="F65" s="26"/>
      <c r="G65" s="26"/>
      <c r="H65" s="26"/>
      <c r="I65" s="12">
        <v>5171040</v>
      </c>
    </row>
    <row r="66" spans="2:9" x14ac:dyDescent="0.25">
      <c r="B66" s="39" t="s">
        <v>106</v>
      </c>
      <c r="C66" s="39"/>
      <c r="D66" s="39"/>
      <c r="E66" s="39"/>
      <c r="F66" s="39"/>
      <c r="G66" s="39"/>
      <c r="H66" s="39"/>
      <c r="I66" s="39"/>
    </row>
    <row r="67" spans="2:9" x14ac:dyDescent="0.25">
      <c r="B67" s="39"/>
      <c r="C67" s="39"/>
      <c r="D67" s="39"/>
      <c r="E67" s="39"/>
      <c r="F67" s="39"/>
      <c r="G67" s="39"/>
      <c r="H67" s="39"/>
      <c r="I67" s="39"/>
    </row>
    <row r="68" spans="2:9" x14ac:dyDescent="0.25">
      <c r="B68" s="3"/>
      <c r="C68" s="3"/>
      <c r="D68" s="3"/>
      <c r="E68" s="3"/>
      <c r="F68" s="3"/>
      <c r="G68" s="3"/>
      <c r="H68" s="3"/>
      <c r="I68" s="3"/>
    </row>
    <row r="69" spans="2:9" x14ac:dyDescent="0.25">
      <c r="B69" s="26" t="s">
        <v>134</v>
      </c>
      <c r="C69" s="26"/>
      <c r="D69" s="26"/>
      <c r="E69" s="26"/>
      <c r="F69" s="26"/>
      <c r="G69" s="26"/>
      <c r="H69" s="26"/>
      <c r="I69" s="12">
        <v>800000</v>
      </c>
    </row>
    <row r="70" spans="2:9" x14ac:dyDescent="0.25">
      <c r="B70" s="4" t="s">
        <v>107</v>
      </c>
      <c r="C70" s="3"/>
      <c r="D70" s="3"/>
      <c r="E70" s="3"/>
      <c r="F70" s="3"/>
      <c r="G70" s="3"/>
      <c r="H70" s="3"/>
      <c r="I70" s="3"/>
    </row>
    <row r="71" spans="2:9" x14ac:dyDescent="0.25">
      <c r="B71" s="3"/>
      <c r="C71" s="3"/>
      <c r="D71" s="3"/>
      <c r="E71" s="3"/>
      <c r="F71" s="3"/>
      <c r="G71" s="3"/>
      <c r="H71" s="3"/>
      <c r="I71" s="3"/>
    </row>
    <row r="72" spans="2:9" x14ac:dyDescent="0.25">
      <c r="B72" s="26" t="s">
        <v>135</v>
      </c>
      <c r="C72" s="26"/>
      <c r="D72" s="26"/>
      <c r="E72" s="26"/>
      <c r="F72" s="26"/>
      <c r="G72" s="26"/>
      <c r="H72" s="26"/>
      <c r="I72" s="12">
        <v>1200000</v>
      </c>
    </row>
    <row r="73" spans="2:9" x14ac:dyDescent="0.25">
      <c r="B73" s="4" t="s">
        <v>108</v>
      </c>
      <c r="C73" s="3"/>
      <c r="D73" s="3"/>
      <c r="E73" s="3"/>
      <c r="F73" s="3"/>
      <c r="G73" s="3"/>
      <c r="H73" s="3"/>
      <c r="I73" s="3"/>
    </row>
    <row r="74" spans="2:9" x14ac:dyDescent="0.25">
      <c r="B74" s="3"/>
      <c r="C74" s="3"/>
      <c r="D74" s="3"/>
      <c r="E74" s="3"/>
      <c r="F74" s="3"/>
      <c r="G74" s="3"/>
      <c r="H74" s="3"/>
      <c r="I74" s="3"/>
    </row>
    <row r="75" spans="2:9" x14ac:dyDescent="0.25">
      <c r="B75" s="26" t="s">
        <v>136</v>
      </c>
      <c r="C75" s="26"/>
      <c r="D75" s="26"/>
      <c r="E75" s="26"/>
      <c r="F75" s="26"/>
      <c r="G75" s="26"/>
      <c r="H75" s="26"/>
      <c r="I75" s="12">
        <v>276000</v>
      </c>
    </row>
    <row r="76" spans="2:9" x14ac:dyDescent="0.25">
      <c r="B76" s="4" t="s">
        <v>109</v>
      </c>
      <c r="C76" s="3"/>
      <c r="D76" s="3"/>
      <c r="E76" s="3"/>
      <c r="F76" s="3"/>
      <c r="G76" s="3"/>
      <c r="H76" s="3"/>
      <c r="I76" s="3"/>
    </row>
    <row r="77" spans="2:9" x14ac:dyDescent="0.25">
      <c r="B77" s="3"/>
      <c r="C77" s="3"/>
      <c r="D77" s="3"/>
      <c r="E77" s="3"/>
      <c r="F77" s="3"/>
      <c r="G77" s="3"/>
      <c r="H77" s="3"/>
      <c r="I77" s="3"/>
    </row>
    <row r="78" spans="2:9" x14ac:dyDescent="0.25">
      <c r="B78" s="26" t="s">
        <v>137</v>
      </c>
      <c r="C78" s="26"/>
      <c r="D78" s="26"/>
      <c r="E78" s="26"/>
      <c r="F78" s="26"/>
      <c r="G78" s="26"/>
      <c r="H78" s="26"/>
      <c r="I78" s="12">
        <v>70000000</v>
      </c>
    </row>
    <row r="79" spans="2:9" ht="15" customHeight="1" x14ac:dyDescent="0.25">
      <c r="B79" s="18" t="s">
        <v>110</v>
      </c>
      <c r="C79" s="16"/>
      <c r="D79" s="16"/>
      <c r="E79" s="16"/>
      <c r="F79" s="16"/>
      <c r="G79" s="16"/>
      <c r="H79" s="16"/>
      <c r="I79" s="16"/>
    </row>
    <row r="80" spans="2:9" ht="15.75" thickBot="1" x14ac:dyDescent="0.3">
      <c r="B80" s="17"/>
      <c r="C80" s="17"/>
      <c r="D80" s="17"/>
      <c r="E80" s="17"/>
      <c r="F80" s="17"/>
      <c r="G80" s="17"/>
      <c r="H80" s="17"/>
      <c r="I80" s="17"/>
    </row>
    <row r="81" spans="2:9" x14ac:dyDescent="0.25">
      <c r="B81" s="3"/>
      <c r="C81" s="3"/>
      <c r="D81" s="3"/>
      <c r="E81" s="3"/>
      <c r="F81" s="3"/>
      <c r="G81" s="3"/>
      <c r="H81" s="3"/>
      <c r="I81" s="3"/>
    </row>
    <row r="82" spans="2:9" x14ac:dyDescent="0.25">
      <c r="B82" s="37" t="s">
        <v>138</v>
      </c>
      <c r="C82" s="37"/>
      <c r="D82" s="37"/>
      <c r="E82" s="37"/>
      <c r="F82" s="37"/>
      <c r="G82" s="37"/>
      <c r="H82" s="37"/>
      <c r="I82" s="5">
        <f>SUM(I58,I61,I65,I69,I72,I75,I78)</f>
        <v>103797040</v>
      </c>
    </row>
    <row r="85" spans="2:9" ht="18.75" x14ac:dyDescent="0.3">
      <c r="B85" s="6" t="s">
        <v>145</v>
      </c>
    </row>
    <row r="86" spans="2:9" x14ac:dyDescent="0.25">
      <c r="B86" s="27" t="s">
        <v>148</v>
      </c>
      <c r="C86" s="27"/>
      <c r="D86" s="27"/>
      <c r="E86" s="27"/>
      <c r="F86" s="27"/>
      <c r="G86" s="27"/>
      <c r="H86" s="27"/>
      <c r="I86" s="27"/>
    </row>
    <row r="87" spans="2:9" x14ac:dyDescent="0.25">
      <c r="B87" s="27"/>
      <c r="C87" s="27"/>
      <c r="D87" s="27"/>
      <c r="E87" s="27"/>
      <c r="F87" s="27"/>
      <c r="G87" s="27"/>
      <c r="H87" s="27"/>
      <c r="I87" s="27"/>
    </row>
    <row r="89" spans="2:9" x14ac:dyDescent="0.25">
      <c r="B89" t="s">
        <v>146</v>
      </c>
      <c r="I89" s="19">
        <f>IF(E46&lt;&gt;0,1*(1.28*1.37),IF(F46&lt;&gt;0,1*(0.77*1.37),IF(G46&lt;&gt;0,1*(0.88*0.6),0)))+IF(E48&lt;&gt;0,1*(1.28*1.37),IF(F48&lt;&gt;0,1*(0.77*1.37),IF(G48&lt;&gt;0,1*(0.88*0.6),0)))+IF(E50&lt;&gt;0,1*(1.28*1.37),IF(F50&lt;&gt;0,1*(0.77*1.37),IF(G50&lt;&gt;0,1*(0.88*0.6),0)))</f>
        <v>5.2608000000000006</v>
      </c>
    </row>
    <row r="91" spans="2:9" x14ac:dyDescent="0.25">
      <c r="B91" t="s">
        <v>147</v>
      </c>
      <c r="I91">
        <f>2*1</f>
        <v>2</v>
      </c>
    </row>
    <row r="93" spans="2:9" x14ac:dyDescent="0.25">
      <c r="B93" t="s">
        <v>150</v>
      </c>
      <c r="I93">
        <f>PI()*(0.188/2)^2</f>
        <v>2.7759112687119412E-2</v>
      </c>
    </row>
    <row r="94" spans="2:9" x14ac:dyDescent="0.25">
      <c r="B94" s="18" t="s">
        <v>151</v>
      </c>
      <c r="C94" s="23"/>
      <c r="D94" s="23"/>
      <c r="E94" s="23"/>
      <c r="F94" s="23"/>
      <c r="G94" s="23"/>
      <c r="H94" s="23"/>
      <c r="I94" s="23"/>
    </row>
    <row r="95" spans="2:9" ht="15.75" thickBot="1" x14ac:dyDescent="0.3">
      <c r="B95" s="20"/>
      <c r="C95" s="21"/>
      <c r="D95" s="21"/>
      <c r="E95" s="21"/>
      <c r="F95" s="21"/>
      <c r="G95" s="21"/>
      <c r="H95" s="21"/>
      <c r="I95" s="21"/>
    </row>
    <row r="96" spans="2:9" x14ac:dyDescent="0.25">
      <c r="B96" s="3"/>
      <c r="C96" s="3"/>
      <c r="D96" s="3"/>
      <c r="E96" s="3"/>
      <c r="F96" s="3"/>
      <c r="G96" s="3"/>
      <c r="H96" s="3"/>
      <c r="I96" s="3"/>
    </row>
    <row r="97" spans="1:9" x14ac:dyDescent="0.25">
      <c r="B97" s="37" t="s">
        <v>153</v>
      </c>
      <c r="C97" s="37"/>
      <c r="D97" s="37"/>
      <c r="E97" s="37"/>
      <c r="F97" s="37"/>
      <c r="G97" s="37"/>
      <c r="H97" s="37"/>
      <c r="I97" s="22">
        <f>SUM(I89,I91,I93)</f>
        <v>7.2885591126871203</v>
      </c>
    </row>
    <row r="99" spans="1:9" x14ac:dyDescent="0.25">
      <c r="B99" t="s">
        <v>154</v>
      </c>
      <c r="I99">
        <v>1.5</v>
      </c>
    </row>
    <row r="100" spans="1:9" x14ac:dyDescent="0.25">
      <c r="B100" s="18" t="s">
        <v>149</v>
      </c>
    </row>
    <row r="102" spans="1:9" x14ac:dyDescent="0.25">
      <c r="A102" s="18" t="s">
        <v>152</v>
      </c>
    </row>
  </sheetData>
  <mergeCells count="30">
    <mergeCell ref="A1:I2"/>
    <mergeCell ref="B86:I87"/>
    <mergeCell ref="B97:H97"/>
    <mergeCell ref="B82:H82"/>
    <mergeCell ref="B62:I63"/>
    <mergeCell ref="B66:I67"/>
    <mergeCell ref="C44:D45"/>
    <mergeCell ref="G44:G45"/>
    <mergeCell ref="F44:F45"/>
    <mergeCell ref="E44:E45"/>
    <mergeCell ref="C50:D51"/>
    <mergeCell ref="C48:D49"/>
    <mergeCell ref="C46:D47"/>
    <mergeCell ref="G50:G51"/>
    <mergeCell ref="F50:F51"/>
    <mergeCell ref="E50:E51"/>
    <mergeCell ref="G48:G49"/>
    <mergeCell ref="F48:F49"/>
    <mergeCell ref="E48:E49"/>
    <mergeCell ref="G46:G47"/>
    <mergeCell ref="F46:F47"/>
    <mergeCell ref="E46:E47"/>
    <mergeCell ref="B78:H78"/>
    <mergeCell ref="B61:H61"/>
    <mergeCell ref="B55:I56"/>
    <mergeCell ref="B58:H58"/>
    <mergeCell ref="B65:H65"/>
    <mergeCell ref="B69:H69"/>
    <mergeCell ref="B72:H72"/>
    <mergeCell ref="B75:H75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Diego Castañeda Osorio</dc:creator>
  <cp:lastModifiedBy>Juan Diego Castañeda Osorio</cp:lastModifiedBy>
  <cp:lastPrinted>2022-05-27T20:29:41Z</cp:lastPrinted>
  <dcterms:created xsi:type="dcterms:W3CDTF">2022-04-20T14:23:08Z</dcterms:created>
  <dcterms:modified xsi:type="dcterms:W3CDTF">2022-05-27T20:35:27Z</dcterms:modified>
</cp:coreProperties>
</file>